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anicars\Desktop\"/>
    </mc:Choice>
  </mc:AlternateContent>
  <bookViews>
    <workbookView xWindow="0" yWindow="0" windowWidth="21570" windowHeight="8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1" i="1" l="1"/>
  <c r="E151" i="1" s="1"/>
  <c r="C151" i="1"/>
  <c r="E150" i="1"/>
  <c r="G150" i="1" s="1"/>
  <c r="D150" i="1"/>
  <c r="C150" i="1"/>
  <c r="E149" i="1"/>
  <c r="G149" i="1" s="1"/>
  <c r="D149" i="1"/>
  <c r="C149" i="1"/>
  <c r="D148" i="1"/>
  <c r="E148" i="1" s="1"/>
  <c r="C148" i="1"/>
  <c r="D147" i="1"/>
  <c r="E147" i="1" s="1"/>
  <c r="C147" i="1"/>
  <c r="E146" i="1"/>
  <c r="G146" i="1" s="1"/>
  <c r="D146" i="1"/>
  <c r="C146" i="1"/>
  <c r="D145" i="1"/>
  <c r="E145" i="1" s="1"/>
  <c r="C145" i="1"/>
  <c r="D144" i="1"/>
  <c r="E144" i="1" s="1"/>
  <c r="C144" i="1"/>
  <c r="D143" i="1"/>
  <c r="E143" i="1" s="1"/>
  <c r="C143" i="1"/>
  <c r="D142" i="1"/>
  <c r="E142" i="1" s="1"/>
  <c r="C142" i="1"/>
  <c r="D141" i="1"/>
  <c r="E141" i="1" s="1"/>
  <c r="C141" i="1"/>
  <c r="E140" i="1"/>
  <c r="G140" i="1" s="1"/>
  <c r="D140" i="1"/>
  <c r="C140" i="1"/>
  <c r="D139" i="1"/>
  <c r="E139" i="1" s="1"/>
  <c r="C139" i="1"/>
  <c r="E138" i="1"/>
  <c r="G138" i="1" s="1"/>
  <c r="D138" i="1"/>
  <c r="C138" i="1"/>
  <c r="E137" i="1"/>
  <c r="G137" i="1" s="1"/>
  <c r="D137" i="1"/>
  <c r="C137" i="1"/>
  <c r="D136" i="1"/>
  <c r="E136" i="1" s="1"/>
  <c r="C136" i="1"/>
  <c r="D135" i="1"/>
  <c r="E135" i="1" s="1"/>
  <c r="C135" i="1"/>
  <c r="E134" i="1"/>
  <c r="G134" i="1" s="1"/>
  <c r="D134" i="1"/>
  <c r="C134" i="1"/>
  <c r="D133" i="1"/>
  <c r="E133" i="1" s="1"/>
  <c r="C133" i="1"/>
  <c r="D132" i="1"/>
  <c r="E132" i="1" s="1"/>
  <c r="C132" i="1"/>
  <c r="D131" i="1"/>
  <c r="E131" i="1" s="1"/>
  <c r="C131" i="1"/>
  <c r="D130" i="1"/>
  <c r="E130" i="1" s="1"/>
  <c r="C130" i="1"/>
  <c r="D129" i="1"/>
  <c r="E129" i="1" s="1"/>
  <c r="C129" i="1"/>
  <c r="E128" i="1"/>
  <c r="G128" i="1" s="1"/>
  <c r="D128" i="1"/>
  <c r="C128" i="1"/>
  <c r="D127" i="1"/>
  <c r="E127" i="1" s="1"/>
  <c r="C127" i="1"/>
  <c r="E126" i="1"/>
  <c r="G126" i="1" s="1"/>
  <c r="D126" i="1"/>
  <c r="C126" i="1"/>
  <c r="E125" i="1"/>
  <c r="G125" i="1" s="1"/>
  <c r="D125" i="1"/>
  <c r="C125" i="1"/>
  <c r="D124" i="1"/>
  <c r="E124" i="1" s="1"/>
  <c r="C124" i="1"/>
  <c r="D123" i="1"/>
  <c r="E123" i="1" s="1"/>
  <c r="C123" i="1"/>
  <c r="E122" i="1"/>
  <c r="G122" i="1" s="1"/>
  <c r="D122" i="1"/>
  <c r="C122" i="1"/>
  <c r="D121" i="1"/>
  <c r="E121" i="1" s="1"/>
  <c r="C121" i="1"/>
  <c r="D120" i="1"/>
  <c r="E120" i="1" s="1"/>
  <c r="C120" i="1"/>
  <c r="D119" i="1"/>
  <c r="E119" i="1" s="1"/>
  <c r="C119" i="1"/>
  <c r="D118" i="1"/>
  <c r="E118" i="1" s="1"/>
  <c r="C118" i="1"/>
  <c r="D117" i="1"/>
  <c r="E117" i="1" s="1"/>
  <c r="C117" i="1"/>
  <c r="E116" i="1"/>
  <c r="G116" i="1" s="1"/>
  <c r="D116" i="1"/>
  <c r="C116" i="1"/>
  <c r="D115" i="1"/>
  <c r="E115" i="1" s="1"/>
  <c r="C115" i="1"/>
  <c r="E114" i="1"/>
  <c r="G114" i="1" s="1"/>
  <c r="D114" i="1"/>
  <c r="C114" i="1"/>
  <c r="E113" i="1"/>
  <c r="G113" i="1" s="1"/>
  <c r="D113" i="1"/>
  <c r="C113" i="1"/>
  <c r="D112" i="1"/>
  <c r="E112" i="1" s="1"/>
  <c r="C112" i="1"/>
  <c r="D111" i="1"/>
  <c r="E111" i="1" s="1"/>
  <c r="C111" i="1"/>
  <c r="E110" i="1"/>
  <c r="G110" i="1" s="1"/>
  <c r="D110" i="1"/>
  <c r="C110" i="1"/>
  <c r="D109" i="1"/>
  <c r="E109" i="1" s="1"/>
  <c r="C109" i="1"/>
  <c r="D108" i="1"/>
  <c r="E108" i="1" s="1"/>
  <c r="C108" i="1"/>
  <c r="D107" i="1"/>
  <c r="E107" i="1" s="1"/>
  <c r="C107" i="1"/>
  <c r="D106" i="1"/>
  <c r="E106" i="1" s="1"/>
  <c r="C106" i="1"/>
  <c r="D105" i="1"/>
  <c r="E105" i="1" s="1"/>
  <c r="C105" i="1"/>
  <c r="E104" i="1"/>
  <c r="G104" i="1" s="1"/>
  <c r="D104" i="1"/>
  <c r="C104" i="1"/>
  <c r="D103" i="1"/>
  <c r="E103" i="1" s="1"/>
  <c r="C103" i="1"/>
  <c r="E102" i="1"/>
  <c r="G102" i="1" s="1"/>
  <c r="D102" i="1"/>
  <c r="C102" i="1"/>
  <c r="E101" i="1"/>
  <c r="G101" i="1" s="1"/>
  <c r="D101" i="1"/>
  <c r="C101" i="1"/>
  <c r="D100" i="1"/>
  <c r="E100" i="1" s="1"/>
  <c r="C100" i="1"/>
  <c r="D99" i="1"/>
  <c r="E99" i="1" s="1"/>
  <c r="C99" i="1"/>
  <c r="E98" i="1"/>
  <c r="G98" i="1" s="1"/>
  <c r="D98" i="1"/>
  <c r="C98" i="1"/>
  <c r="D97" i="1"/>
  <c r="E97" i="1" s="1"/>
  <c r="C97" i="1"/>
  <c r="D96" i="1"/>
  <c r="E96" i="1" s="1"/>
  <c r="C96" i="1"/>
  <c r="D95" i="1"/>
  <c r="E95" i="1" s="1"/>
  <c r="C95" i="1"/>
  <c r="D94" i="1"/>
  <c r="E94" i="1" s="1"/>
  <c r="C94" i="1"/>
  <c r="D93" i="1"/>
  <c r="E93" i="1" s="1"/>
  <c r="C93" i="1"/>
  <c r="E92" i="1"/>
  <c r="G92" i="1" s="1"/>
  <c r="D92" i="1"/>
  <c r="C92" i="1"/>
  <c r="D91" i="1"/>
  <c r="E91" i="1" s="1"/>
  <c r="C91" i="1"/>
  <c r="E90" i="1"/>
  <c r="G90" i="1" s="1"/>
  <c r="D90" i="1"/>
  <c r="C90" i="1"/>
  <c r="E89" i="1"/>
  <c r="G89" i="1" s="1"/>
  <c r="D89" i="1"/>
  <c r="C89" i="1"/>
  <c r="D88" i="1"/>
  <c r="E88" i="1" s="1"/>
  <c r="C88" i="1"/>
  <c r="D87" i="1"/>
  <c r="E87" i="1" s="1"/>
  <c r="G87" i="1" s="1"/>
  <c r="C87" i="1"/>
  <c r="E86" i="1"/>
  <c r="G86" i="1" s="1"/>
  <c r="D86" i="1"/>
  <c r="C86" i="1"/>
  <c r="D85" i="1"/>
  <c r="E85" i="1" s="1"/>
  <c r="C85" i="1"/>
  <c r="D84" i="1"/>
  <c r="E84" i="1" s="1"/>
  <c r="C84" i="1"/>
  <c r="D83" i="1"/>
  <c r="E83" i="1" s="1"/>
  <c r="C83" i="1"/>
  <c r="D82" i="1"/>
  <c r="E82" i="1" s="1"/>
  <c r="F82" i="1" s="1"/>
  <c r="C82" i="1"/>
  <c r="D81" i="1"/>
  <c r="E81" i="1" s="1"/>
  <c r="C81" i="1"/>
  <c r="E80" i="1"/>
  <c r="D80" i="1"/>
  <c r="C80" i="1"/>
  <c r="G79" i="1"/>
  <c r="D79" i="1"/>
  <c r="E79" i="1" s="1"/>
  <c r="F79" i="1" s="1"/>
  <c r="C79" i="1"/>
  <c r="E78" i="1"/>
  <c r="G78" i="1" s="1"/>
  <c r="D78" i="1"/>
  <c r="C78" i="1"/>
  <c r="E77" i="1"/>
  <c r="D77" i="1"/>
  <c r="C77" i="1"/>
  <c r="D76" i="1"/>
  <c r="E76" i="1" s="1"/>
  <c r="C76" i="1"/>
  <c r="D75" i="1"/>
  <c r="E75" i="1" s="1"/>
  <c r="G75" i="1" s="1"/>
  <c r="C75" i="1"/>
  <c r="E74" i="1"/>
  <c r="G74" i="1" s="1"/>
  <c r="D74" i="1"/>
  <c r="C74" i="1"/>
  <c r="D73" i="1"/>
  <c r="E73" i="1" s="1"/>
  <c r="C73" i="1"/>
  <c r="F72" i="1"/>
  <c r="D72" i="1"/>
  <c r="E72" i="1" s="1"/>
  <c r="G72" i="1" s="1"/>
  <c r="C72" i="1"/>
  <c r="D71" i="1"/>
  <c r="E71" i="1" s="1"/>
  <c r="C71" i="1"/>
  <c r="G70" i="1"/>
  <c r="D70" i="1"/>
  <c r="E70" i="1" s="1"/>
  <c r="F70" i="1" s="1"/>
  <c r="C70" i="1"/>
  <c r="D69" i="1"/>
  <c r="E69" i="1" s="1"/>
  <c r="C69" i="1"/>
  <c r="E68" i="1"/>
  <c r="D68" i="1"/>
  <c r="C68" i="1"/>
  <c r="D67" i="1"/>
  <c r="E67" i="1" s="1"/>
  <c r="F67" i="1" s="1"/>
  <c r="C67" i="1"/>
  <c r="E66" i="1"/>
  <c r="G66" i="1" s="1"/>
  <c r="D66" i="1"/>
  <c r="C66" i="1"/>
  <c r="E65" i="1"/>
  <c r="D65" i="1"/>
  <c r="C65" i="1"/>
  <c r="D64" i="1"/>
  <c r="E64" i="1" s="1"/>
  <c r="C64" i="1"/>
  <c r="F63" i="1"/>
  <c r="D63" i="1"/>
  <c r="E63" i="1" s="1"/>
  <c r="G63" i="1" s="1"/>
  <c r="C63" i="1"/>
  <c r="E62" i="1"/>
  <c r="G62" i="1" s="1"/>
  <c r="D62" i="1"/>
  <c r="C62" i="1"/>
  <c r="D61" i="1"/>
  <c r="E61" i="1" s="1"/>
  <c r="C61" i="1"/>
  <c r="F60" i="1"/>
  <c r="D60" i="1"/>
  <c r="E60" i="1" s="1"/>
  <c r="G60" i="1" s="1"/>
  <c r="C60" i="1"/>
  <c r="D59" i="1"/>
  <c r="E59" i="1" s="1"/>
  <c r="C59" i="1"/>
  <c r="D58" i="1"/>
  <c r="E58" i="1" s="1"/>
  <c r="F58" i="1" s="1"/>
  <c r="C58" i="1"/>
  <c r="D57" i="1"/>
  <c r="E57" i="1" s="1"/>
  <c r="C57" i="1"/>
  <c r="E56" i="1"/>
  <c r="D56" i="1"/>
  <c r="C56" i="1"/>
  <c r="D55" i="1"/>
  <c r="E55" i="1" s="1"/>
  <c r="F55" i="1" s="1"/>
  <c r="C55" i="1"/>
  <c r="E54" i="1"/>
  <c r="G54" i="1" s="1"/>
  <c r="D54" i="1"/>
  <c r="C54" i="1"/>
  <c r="E53" i="1"/>
  <c r="D53" i="1"/>
  <c r="C53" i="1"/>
  <c r="D52" i="1"/>
  <c r="E52" i="1" s="1"/>
  <c r="C52" i="1"/>
  <c r="F51" i="1"/>
  <c r="D51" i="1"/>
  <c r="E51" i="1" s="1"/>
  <c r="G51" i="1" s="1"/>
  <c r="C51" i="1"/>
  <c r="E50" i="1"/>
  <c r="G50" i="1" s="1"/>
  <c r="D50" i="1"/>
  <c r="C50" i="1"/>
  <c r="D49" i="1"/>
  <c r="E49" i="1" s="1"/>
  <c r="C49" i="1"/>
  <c r="D48" i="1"/>
  <c r="E48" i="1" s="1"/>
  <c r="G48" i="1" s="1"/>
  <c r="C48" i="1"/>
  <c r="D47" i="1"/>
  <c r="E47" i="1" s="1"/>
  <c r="C47" i="1"/>
  <c r="D46" i="1"/>
  <c r="E46" i="1" s="1"/>
  <c r="F46" i="1" s="1"/>
  <c r="C46" i="1"/>
  <c r="F45" i="1"/>
  <c r="D45" i="1"/>
  <c r="E45" i="1" s="1"/>
  <c r="G45" i="1" s="1"/>
  <c r="C45" i="1"/>
  <c r="E44" i="1"/>
  <c r="D44" i="1"/>
  <c r="C44" i="1"/>
  <c r="G43" i="1"/>
  <c r="D43" i="1"/>
  <c r="E43" i="1" s="1"/>
  <c r="F43" i="1" s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M4" i="1"/>
  <c r="L4" i="1"/>
  <c r="D4" i="1"/>
  <c r="C4" i="1"/>
  <c r="D3" i="1"/>
  <c r="C3" i="1"/>
  <c r="D2" i="1"/>
  <c r="C2" i="1"/>
  <c r="E14" i="1" s="1"/>
  <c r="G14" i="1" l="1"/>
  <c r="F14" i="1"/>
  <c r="G105" i="1"/>
  <c r="F105" i="1"/>
  <c r="G131" i="1"/>
  <c r="F131" i="1"/>
  <c r="G141" i="1"/>
  <c r="F141" i="1"/>
  <c r="E2" i="1"/>
  <c r="E10" i="1"/>
  <c r="E19" i="1"/>
  <c r="E23" i="1"/>
  <c r="G58" i="1"/>
  <c r="G67" i="1"/>
  <c r="G111" i="1"/>
  <c r="F111" i="1"/>
  <c r="G147" i="1"/>
  <c r="F147" i="1"/>
  <c r="F96" i="1"/>
  <c r="G96" i="1"/>
  <c r="G142" i="1"/>
  <c r="F142" i="1"/>
  <c r="G121" i="1"/>
  <c r="F121" i="1"/>
  <c r="G132" i="1"/>
  <c r="F132" i="1"/>
  <c r="E24" i="1"/>
  <c r="E37" i="1"/>
  <c r="E41" i="1"/>
  <c r="G59" i="1"/>
  <c r="F59" i="1"/>
  <c r="G77" i="1"/>
  <c r="F77" i="1"/>
  <c r="G91" i="1"/>
  <c r="F91" i="1"/>
  <c r="G112" i="1"/>
  <c r="F112" i="1"/>
  <c r="F127" i="1"/>
  <c r="G127" i="1"/>
  <c r="G148" i="1"/>
  <c r="F148" i="1"/>
  <c r="G49" i="1"/>
  <c r="F49" i="1"/>
  <c r="G81" i="1"/>
  <c r="F81" i="1"/>
  <c r="E7" i="1"/>
  <c r="E11" i="1"/>
  <c r="E33" i="1"/>
  <c r="G68" i="1"/>
  <c r="F68" i="1"/>
  <c r="G97" i="1"/>
  <c r="F97" i="1"/>
  <c r="G107" i="1"/>
  <c r="F107" i="1"/>
  <c r="G117" i="1"/>
  <c r="F117" i="1"/>
  <c r="G133" i="1"/>
  <c r="F133" i="1"/>
  <c r="G143" i="1"/>
  <c r="F143" i="1"/>
  <c r="G80" i="1"/>
  <c r="F80" i="1"/>
  <c r="G106" i="1"/>
  <c r="F106" i="1"/>
  <c r="F73" i="1"/>
  <c r="G73" i="1"/>
  <c r="E3" i="1"/>
  <c r="E16" i="1"/>
  <c r="E20" i="1"/>
  <c r="G46" i="1"/>
  <c r="G55" i="1"/>
  <c r="G82" i="1"/>
  <c r="F87" i="1"/>
  <c r="G123" i="1"/>
  <c r="F123" i="1"/>
  <c r="G95" i="1"/>
  <c r="F95" i="1"/>
  <c r="E28" i="1"/>
  <c r="G64" i="1"/>
  <c r="F64" i="1"/>
  <c r="E12" i="1"/>
  <c r="E25" i="1"/>
  <c r="E29" i="1"/>
  <c r="E38" i="1"/>
  <c r="F69" i="1"/>
  <c r="G69" i="1"/>
  <c r="G108" i="1"/>
  <c r="F108" i="1"/>
  <c r="G118" i="1"/>
  <c r="F118" i="1"/>
  <c r="G144" i="1"/>
  <c r="F144" i="1"/>
  <c r="G76" i="1"/>
  <c r="F76" i="1"/>
  <c r="E15" i="1"/>
  <c r="E32" i="1"/>
  <c r="E21" i="1"/>
  <c r="E34" i="1"/>
  <c r="G47" i="1"/>
  <c r="F47" i="1"/>
  <c r="G65" i="1"/>
  <c r="F65" i="1"/>
  <c r="G83" i="1"/>
  <c r="F83" i="1"/>
  <c r="G88" i="1"/>
  <c r="F88" i="1"/>
  <c r="F103" i="1"/>
  <c r="G103" i="1"/>
  <c r="G124" i="1"/>
  <c r="F124" i="1"/>
  <c r="F139" i="1"/>
  <c r="G139" i="1"/>
  <c r="E39" i="1"/>
  <c r="G52" i="1"/>
  <c r="F52" i="1"/>
  <c r="G56" i="1"/>
  <c r="F56" i="1"/>
  <c r="G61" i="1"/>
  <c r="F61" i="1"/>
  <c r="F93" i="1"/>
  <c r="G93" i="1"/>
  <c r="G109" i="1"/>
  <c r="F109" i="1"/>
  <c r="G119" i="1"/>
  <c r="F119" i="1"/>
  <c r="F129" i="1"/>
  <c r="G129" i="1"/>
  <c r="F145" i="1"/>
  <c r="G145" i="1"/>
  <c r="G99" i="1"/>
  <c r="F99" i="1"/>
  <c r="E9" i="1"/>
  <c r="E30" i="1"/>
  <c r="E6" i="1"/>
  <c r="E4" i="1"/>
  <c r="E42" i="1"/>
  <c r="E18" i="1"/>
  <c r="E36" i="1"/>
  <c r="E13" i="1"/>
  <c r="G84" i="1"/>
  <c r="F84" i="1"/>
  <c r="G135" i="1"/>
  <c r="F135" i="1"/>
  <c r="E22" i="1"/>
  <c r="E31" i="1"/>
  <c r="E35" i="1"/>
  <c r="F48" i="1"/>
  <c r="F57" i="1"/>
  <c r="G57" i="1"/>
  <c r="F75" i="1"/>
  <c r="G94" i="1"/>
  <c r="F94" i="1"/>
  <c r="G120" i="1"/>
  <c r="F120" i="1"/>
  <c r="G130" i="1"/>
  <c r="F130" i="1"/>
  <c r="E5" i="1"/>
  <c r="E8" i="1"/>
  <c r="E17" i="1"/>
  <c r="E26" i="1"/>
  <c r="E27" i="1"/>
  <c r="E40" i="1"/>
  <c r="G44" i="1"/>
  <c r="F44" i="1"/>
  <c r="G53" i="1"/>
  <c r="F53" i="1"/>
  <c r="G71" i="1"/>
  <c r="F71" i="1"/>
  <c r="G85" i="1"/>
  <c r="F85" i="1"/>
  <c r="G100" i="1"/>
  <c r="F100" i="1"/>
  <c r="F115" i="1"/>
  <c r="G115" i="1"/>
  <c r="G136" i="1"/>
  <c r="F136" i="1"/>
  <c r="G151" i="1"/>
  <c r="F151" i="1"/>
  <c r="F89" i="1"/>
  <c r="F101" i="1"/>
  <c r="F113" i="1"/>
  <c r="F125" i="1"/>
  <c r="F137" i="1"/>
  <c r="F149" i="1"/>
  <c r="F92" i="1"/>
  <c r="F104" i="1"/>
  <c r="F116" i="1"/>
  <c r="F128" i="1"/>
  <c r="F140" i="1"/>
  <c r="F54" i="1"/>
  <c r="F66" i="1"/>
  <c r="F78" i="1"/>
  <c r="F90" i="1"/>
  <c r="F102" i="1"/>
  <c r="F114" i="1"/>
  <c r="F126" i="1"/>
  <c r="F138" i="1"/>
  <c r="F150" i="1"/>
  <c r="F50" i="1"/>
  <c r="F62" i="1"/>
  <c r="F74" i="1"/>
  <c r="F86" i="1"/>
  <c r="F98" i="1"/>
  <c r="F110" i="1"/>
  <c r="F122" i="1"/>
  <c r="F134" i="1"/>
  <c r="F146" i="1"/>
  <c r="G23" i="1" l="1"/>
  <c r="F23" i="1"/>
  <c r="G15" i="1"/>
  <c r="F15" i="1"/>
  <c r="G29" i="1"/>
  <c r="F29" i="1"/>
  <c r="G11" i="1"/>
  <c r="F11" i="1"/>
  <c r="F19" i="1"/>
  <c r="G19" i="1"/>
  <c r="F22" i="1"/>
  <c r="G22" i="1"/>
  <c r="F25" i="1"/>
  <c r="G25" i="1"/>
  <c r="F7" i="1"/>
  <c r="G7" i="1"/>
  <c r="F10" i="1"/>
  <c r="G10" i="1"/>
  <c r="G33" i="1"/>
  <c r="F33" i="1"/>
  <c r="G12" i="1"/>
  <c r="F12" i="1"/>
  <c r="G20" i="1"/>
  <c r="F20" i="1"/>
  <c r="F2" i="1"/>
  <c r="G2" i="1"/>
  <c r="F16" i="1"/>
  <c r="G16" i="1"/>
  <c r="G13" i="1"/>
  <c r="F13" i="1"/>
  <c r="G3" i="1"/>
  <c r="F3" i="1"/>
  <c r="F40" i="1"/>
  <c r="G40" i="1"/>
  <c r="G36" i="1"/>
  <c r="F36" i="1"/>
  <c r="F28" i="1"/>
  <c r="G28" i="1"/>
  <c r="G38" i="1"/>
  <c r="F38" i="1"/>
  <c r="G27" i="1"/>
  <c r="F27" i="1"/>
  <c r="G18" i="1"/>
  <c r="F18" i="1"/>
  <c r="G39" i="1"/>
  <c r="F39" i="1"/>
  <c r="G41" i="1"/>
  <c r="F41" i="1"/>
  <c r="G32" i="1"/>
  <c r="F32" i="1"/>
  <c r="G26" i="1"/>
  <c r="F26" i="1"/>
  <c r="G42" i="1"/>
  <c r="F42" i="1"/>
  <c r="F37" i="1"/>
  <c r="G37" i="1"/>
  <c r="G17" i="1"/>
  <c r="F17" i="1"/>
  <c r="G4" i="1"/>
  <c r="F4" i="1"/>
  <c r="G24" i="1"/>
  <c r="F24" i="1"/>
  <c r="G9" i="1"/>
  <c r="F9" i="1"/>
  <c r="G8" i="1"/>
  <c r="F8" i="1"/>
  <c r="G35" i="1"/>
  <c r="F35" i="1"/>
  <c r="G6" i="1"/>
  <c r="F6" i="1"/>
  <c r="F34" i="1"/>
  <c r="G34" i="1"/>
  <c r="G5" i="1"/>
  <c r="F5" i="1"/>
  <c r="F31" i="1"/>
  <c r="G31" i="1"/>
  <c r="G30" i="1"/>
  <c r="F30" i="1"/>
  <c r="G21" i="1"/>
  <c r="F21" i="1"/>
</calcChain>
</file>

<file path=xl/sharedStrings.xml><?xml version="1.0" encoding="utf-8"?>
<sst xmlns="http://schemas.openxmlformats.org/spreadsheetml/2006/main" count="8" uniqueCount="8">
  <si>
    <t>ULAZAK</t>
  </si>
  <si>
    <t>IZLAZAK</t>
  </si>
  <si>
    <t>DANI</t>
  </si>
  <si>
    <t>180 -DAN</t>
  </si>
  <si>
    <t xml:space="preserve">UKUPNO U 180 </t>
  </si>
  <si>
    <t>PREOSTALO</t>
  </si>
  <si>
    <t>STATUS</t>
  </si>
  <si>
    <t>NAPOMENA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</si>
</sst>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20"/>
      <color indexed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Font="1" applyBorder="1"/>
    <xf numFmtId="164" fontId="0" fillId="0" borderId="1" xfId="0" applyNumberFormat="1" applyBorder="1" applyProtection="1">
      <protection locked="0"/>
    </xf>
    <xf numFmtId="0" fontId="0" fillId="0" borderId="1" xfId="0" applyNumberFormat="1" applyBorder="1"/>
    <xf numFmtId="0" fontId="1" fillId="0" borderId="1" xfId="0" applyNumberFormat="1" applyFont="1" applyBorder="1"/>
    <xf numFmtId="0" fontId="0" fillId="0" borderId="1" xfId="0" applyBorder="1"/>
    <xf numFmtId="14" fontId="2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tabSelected="1" workbookViewId="0">
      <selection activeCell="L1" sqref="L1:M1048576"/>
    </sheetView>
  </sheetViews>
  <sheetFormatPr defaultRowHeight="15" x14ac:dyDescent="0.25"/>
  <cols>
    <col min="1" max="1" width="11.140625" customWidth="1"/>
    <col min="2" max="2" width="12.42578125" customWidth="1"/>
    <col min="12" max="13" width="19.85546875" bestFit="1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3" x14ac:dyDescent="0.25">
      <c r="A2" s="3">
        <v>45806</v>
      </c>
      <c r="B2" s="3">
        <v>45807</v>
      </c>
      <c r="C2" s="4">
        <f>MAX(B2-A2+1,0)</f>
        <v>2</v>
      </c>
      <c r="D2" s="4">
        <f>A2</f>
        <v>45806</v>
      </c>
      <c r="E2" s="5">
        <f>SUMIFS(C$2:C2, A$2:A2, "&gt;="&amp;D2-179, A$2:A2, "&lt;="&amp;D2)</f>
        <v>2</v>
      </c>
      <c r="F2" s="6">
        <f>90-E2</f>
        <v>88</v>
      </c>
      <c r="G2" s="6" t="str">
        <f>IF(E2&gt;90,"PREKORAČENO",IF(E2&gt;80,"OPREZ","ok"))</f>
        <v>ok</v>
      </c>
      <c r="H2" s="6"/>
    </row>
    <row r="3" spans="1:13" x14ac:dyDescent="0.25">
      <c r="A3" s="3">
        <v>45809</v>
      </c>
      <c r="B3" s="3">
        <v>45810</v>
      </c>
      <c r="C3" s="4">
        <f t="shared" ref="C3:C66" si="0">MAX(B3-A3+1,0)</f>
        <v>2</v>
      </c>
      <c r="D3" s="4">
        <f t="shared" ref="D3:D66" si="1">A3</f>
        <v>45809</v>
      </c>
      <c r="E3" s="5">
        <f>SUMIFS(C$2:C3, A$2:A3, "&gt;="&amp;D3-179, A$2:A3, "&lt;="&amp;D3)</f>
        <v>4</v>
      </c>
      <c r="F3" s="6">
        <f t="shared" ref="F3:F66" si="2">90-E3</f>
        <v>86</v>
      </c>
      <c r="G3" s="6" t="str">
        <f t="shared" ref="G3:G66" si="3">IF(E3&gt;90,"PREKORAČENO",IF(E3&gt;80,"OPREZ","ok"))</f>
        <v>ok</v>
      </c>
      <c r="H3" s="6"/>
    </row>
    <row r="4" spans="1:13" x14ac:dyDescent="0.25">
      <c r="A4" s="3">
        <v>45816</v>
      </c>
      <c r="B4" s="3">
        <v>45816</v>
      </c>
      <c r="C4" s="4">
        <f t="shared" si="0"/>
        <v>1</v>
      </c>
      <c r="D4" s="4">
        <f t="shared" si="1"/>
        <v>45816</v>
      </c>
      <c r="E4" s="5">
        <f>SUMIFS(C$2:C4, A$2:A4, "&gt;="&amp;D4-179, A$2:A4, "&lt;="&amp;D4)</f>
        <v>5</v>
      </c>
      <c r="F4" s="6">
        <f t="shared" si="2"/>
        <v>85</v>
      </c>
      <c r="G4" s="6" t="str">
        <f t="shared" si="3"/>
        <v>ok</v>
      </c>
      <c r="H4" s="6"/>
      <c r="L4" s="7">
        <f ca="1">TODAY()</f>
        <v>46058</v>
      </c>
      <c r="M4" s="7">
        <f ca="1">TODAY() - 180</f>
        <v>45878</v>
      </c>
    </row>
    <row r="5" spans="1:13" x14ac:dyDescent="0.25">
      <c r="A5" s="3">
        <v>45819</v>
      </c>
      <c r="B5" s="3">
        <v>45819</v>
      </c>
      <c r="C5" s="4">
        <f t="shared" si="0"/>
        <v>1</v>
      </c>
      <c r="D5" s="4">
        <f t="shared" si="1"/>
        <v>45819</v>
      </c>
      <c r="E5" s="5">
        <f>SUMIFS(C$2:C5, A$2:A5, "&gt;="&amp;D5-179, A$2:A5, "&lt;="&amp;D5)</f>
        <v>6</v>
      </c>
      <c r="F5" s="6">
        <f t="shared" si="2"/>
        <v>84</v>
      </c>
      <c r="G5" s="6" t="str">
        <f t="shared" si="3"/>
        <v>ok</v>
      </c>
      <c r="H5" s="6"/>
      <c r="L5" s="7"/>
      <c r="M5" s="7"/>
    </row>
    <row r="6" spans="1:13" x14ac:dyDescent="0.25">
      <c r="A6" s="3">
        <v>45821</v>
      </c>
      <c r="B6" s="3">
        <v>45822</v>
      </c>
      <c r="C6" s="4">
        <f t="shared" si="0"/>
        <v>2</v>
      </c>
      <c r="D6" s="4">
        <f t="shared" si="1"/>
        <v>45821</v>
      </c>
      <c r="E6" s="5">
        <f>SUMIFS(C$2:C6, A$2:A6, "&gt;="&amp;D6-179, A$2:A6, "&lt;="&amp;D6)</f>
        <v>8</v>
      </c>
      <c r="F6" s="6">
        <f t="shared" si="2"/>
        <v>82</v>
      </c>
      <c r="G6" s="6" t="str">
        <f t="shared" si="3"/>
        <v>ok</v>
      </c>
      <c r="H6" s="6"/>
    </row>
    <row r="7" spans="1:13" x14ac:dyDescent="0.25">
      <c r="A7" s="3">
        <v>45823</v>
      </c>
      <c r="B7" s="3">
        <v>45824</v>
      </c>
      <c r="C7" s="4">
        <f t="shared" si="0"/>
        <v>2</v>
      </c>
      <c r="D7" s="4">
        <f t="shared" si="1"/>
        <v>45823</v>
      </c>
      <c r="E7" s="5">
        <f>SUMIFS(C$2:C7, A$2:A7, "&gt;="&amp;D7-179, A$2:A7, "&lt;="&amp;D7)</f>
        <v>10</v>
      </c>
      <c r="F7" s="6">
        <f t="shared" si="2"/>
        <v>80</v>
      </c>
      <c r="G7" s="6" t="str">
        <f t="shared" si="3"/>
        <v>ok</v>
      </c>
      <c r="H7" s="6"/>
    </row>
    <row r="8" spans="1:13" x14ac:dyDescent="0.25">
      <c r="A8" s="3">
        <v>45829</v>
      </c>
      <c r="B8" s="3">
        <v>45830</v>
      </c>
      <c r="C8" s="4">
        <f t="shared" si="0"/>
        <v>2</v>
      </c>
      <c r="D8" s="4">
        <f t="shared" si="1"/>
        <v>45829</v>
      </c>
      <c r="E8" s="5">
        <f>SUMIFS(C$2:C8, A$2:A8, "&gt;="&amp;D8-179, A$2:A8, "&lt;="&amp;D8)</f>
        <v>12</v>
      </c>
      <c r="F8" s="6">
        <f t="shared" si="2"/>
        <v>78</v>
      </c>
      <c r="G8" s="6" t="str">
        <f t="shared" si="3"/>
        <v>ok</v>
      </c>
      <c r="H8" s="6"/>
    </row>
    <row r="9" spans="1:13" x14ac:dyDescent="0.25">
      <c r="A9" s="3">
        <v>45830</v>
      </c>
      <c r="B9" s="3">
        <v>45831</v>
      </c>
      <c r="C9" s="4">
        <f t="shared" si="0"/>
        <v>2</v>
      </c>
      <c r="D9" s="4">
        <f t="shared" si="1"/>
        <v>45830</v>
      </c>
      <c r="E9" s="5">
        <f>SUMIFS(C$2:C9, A$2:A9, "&gt;="&amp;D9-179, A$2:A9, "&lt;="&amp;D9)</f>
        <v>14</v>
      </c>
      <c r="F9" s="6">
        <f t="shared" si="2"/>
        <v>76</v>
      </c>
      <c r="G9" s="6" t="str">
        <f t="shared" si="3"/>
        <v>ok</v>
      </c>
      <c r="H9" s="6"/>
    </row>
    <row r="10" spans="1:13" x14ac:dyDescent="0.25">
      <c r="A10" s="3">
        <v>45833</v>
      </c>
      <c r="B10" s="3">
        <v>45834</v>
      </c>
      <c r="C10" s="4">
        <f t="shared" si="0"/>
        <v>2</v>
      </c>
      <c r="D10" s="4">
        <f t="shared" si="1"/>
        <v>45833</v>
      </c>
      <c r="E10" s="5">
        <f>SUMIFS(C$2:C10, A$2:A10, "&gt;="&amp;D10-179, A$2:A10, "&lt;="&amp;D10)</f>
        <v>16</v>
      </c>
      <c r="F10" s="6">
        <f t="shared" si="2"/>
        <v>74</v>
      </c>
      <c r="G10" s="6" t="str">
        <f t="shared" si="3"/>
        <v>ok</v>
      </c>
      <c r="H10" s="6"/>
    </row>
    <row r="11" spans="1:13" x14ac:dyDescent="0.25">
      <c r="A11" s="3">
        <v>45835</v>
      </c>
      <c r="B11" s="3">
        <v>45837</v>
      </c>
      <c r="C11" s="4">
        <f t="shared" si="0"/>
        <v>3</v>
      </c>
      <c r="D11" s="4">
        <f t="shared" si="1"/>
        <v>45835</v>
      </c>
      <c r="E11" s="5">
        <f>SUMIFS(C$2:C11, A$2:A11, "&gt;="&amp;D11-179, A$2:A11, "&lt;="&amp;D11)</f>
        <v>19</v>
      </c>
      <c r="F11" s="6">
        <f t="shared" si="2"/>
        <v>71</v>
      </c>
      <c r="G11" s="6" t="str">
        <f t="shared" si="3"/>
        <v>ok</v>
      </c>
      <c r="H11" s="6"/>
    </row>
    <row r="12" spans="1:13" x14ac:dyDescent="0.25">
      <c r="A12" s="3">
        <v>45839</v>
      </c>
      <c r="B12" s="3">
        <v>45840</v>
      </c>
      <c r="C12" s="4">
        <f t="shared" si="0"/>
        <v>2</v>
      </c>
      <c r="D12" s="4">
        <f t="shared" si="1"/>
        <v>45839</v>
      </c>
      <c r="E12" s="5">
        <f>SUMIFS(C$2:C12, A$2:A12, "&gt;="&amp;D12-179, A$2:A12, "&lt;="&amp;D12)</f>
        <v>21</v>
      </c>
      <c r="F12" s="6">
        <f t="shared" si="2"/>
        <v>69</v>
      </c>
      <c r="G12" s="6" t="str">
        <f t="shared" si="3"/>
        <v>ok</v>
      </c>
      <c r="H12" s="6"/>
    </row>
    <row r="13" spans="1:13" x14ac:dyDescent="0.25">
      <c r="A13" s="3">
        <v>45841</v>
      </c>
      <c r="B13" s="3">
        <v>45842</v>
      </c>
      <c r="C13" s="4">
        <f t="shared" si="0"/>
        <v>2</v>
      </c>
      <c r="D13" s="4">
        <f t="shared" si="1"/>
        <v>45841</v>
      </c>
      <c r="E13" s="5">
        <f>SUMIFS(C$2:C13, A$2:A13, "&gt;="&amp;D13-179, A$2:A13, "&lt;="&amp;D13)</f>
        <v>23</v>
      </c>
      <c r="F13" s="6">
        <f t="shared" si="2"/>
        <v>67</v>
      </c>
      <c r="G13" s="6" t="str">
        <f t="shared" si="3"/>
        <v>ok</v>
      </c>
      <c r="H13" s="6"/>
    </row>
    <row r="14" spans="1:13" x14ac:dyDescent="0.25">
      <c r="A14" s="3">
        <v>45844</v>
      </c>
      <c r="B14" s="3">
        <v>45846</v>
      </c>
      <c r="C14" s="4">
        <f t="shared" si="0"/>
        <v>3</v>
      </c>
      <c r="D14" s="4">
        <f t="shared" si="1"/>
        <v>45844</v>
      </c>
      <c r="E14" s="5">
        <f>SUMIFS(C$2:C14, A$2:A14, "&gt;="&amp;D14-179, A$2:A14, "&lt;="&amp;D14)</f>
        <v>26</v>
      </c>
      <c r="F14" s="6">
        <f t="shared" si="2"/>
        <v>64</v>
      </c>
      <c r="G14" s="6" t="str">
        <f t="shared" si="3"/>
        <v>ok</v>
      </c>
      <c r="H14" s="6"/>
    </row>
    <row r="15" spans="1:13" x14ac:dyDescent="0.25">
      <c r="A15" s="3">
        <v>45847</v>
      </c>
      <c r="B15" s="3">
        <v>45848</v>
      </c>
      <c r="C15" s="4">
        <f t="shared" si="0"/>
        <v>2</v>
      </c>
      <c r="D15" s="4">
        <f t="shared" si="1"/>
        <v>45847</v>
      </c>
      <c r="E15" s="5">
        <f>SUMIFS(C$2:C15, A$2:A15, "&gt;="&amp;D15-179, A$2:A15, "&lt;="&amp;D15)</f>
        <v>28</v>
      </c>
      <c r="F15" s="6">
        <f t="shared" si="2"/>
        <v>62</v>
      </c>
      <c r="G15" s="6" t="str">
        <f t="shared" si="3"/>
        <v>ok</v>
      </c>
      <c r="H15" s="6"/>
    </row>
    <row r="16" spans="1:13" x14ac:dyDescent="0.25">
      <c r="A16" s="3">
        <v>45850</v>
      </c>
      <c r="B16" s="3">
        <v>45852</v>
      </c>
      <c r="C16" s="4">
        <f t="shared" si="0"/>
        <v>3</v>
      </c>
      <c r="D16" s="4">
        <f t="shared" si="1"/>
        <v>45850</v>
      </c>
      <c r="E16" s="5">
        <f>SUMIFS(C$2:C16, A$2:A16, "&gt;="&amp;D16-179, A$2:A16, "&lt;="&amp;D16)</f>
        <v>31</v>
      </c>
      <c r="F16" s="6">
        <f t="shared" si="2"/>
        <v>59</v>
      </c>
      <c r="G16" s="6" t="str">
        <f t="shared" si="3"/>
        <v>ok</v>
      </c>
      <c r="H16" s="6"/>
    </row>
    <row r="17" spans="1:8" x14ac:dyDescent="0.25">
      <c r="A17" s="3">
        <v>45853</v>
      </c>
      <c r="B17" s="3">
        <v>45854</v>
      </c>
      <c r="C17" s="4">
        <f t="shared" si="0"/>
        <v>2</v>
      </c>
      <c r="D17" s="4">
        <f t="shared" si="1"/>
        <v>45853</v>
      </c>
      <c r="E17" s="5">
        <f>SUMIFS(C$2:C17, A$2:A17, "&gt;="&amp;D17-179, A$2:A17, "&lt;="&amp;D17)</f>
        <v>33</v>
      </c>
      <c r="F17" s="6">
        <f t="shared" si="2"/>
        <v>57</v>
      </c>
      <c r="G17" s="6" t="str">
        <f t="shared" si="3"/>
        <v>ok</v>
      </c>
      <c r="H17" s="6"/>
    </row>
    <row r="18" spans="1:8" x14ac:dyDescent="0.25">
      <c r="A18" s="3">
        <v>45858</v>
      </c>
      <c r="B18" s="3">
        <v>45858</v>
      </c>
      <c r="C18" s="4">
        <f t="shared" si="0"/>
        <v>1</v>
      </c>
      <c r="D18" s="4">
        <f t="shared" si="1"/>
        <v>45858</v>
      </c>
      <c r="E18" s="5">
        <f>SUMIFS(C$2:C18, A$2:A18, "&gt;="&amp;D18-179, A$2:A18, "&lt;="&amp;D18)</f>
        <v>34</v>
      </c>
      <c r="F18" s="6">
        <f t="shared" si="2"/>
        <v>56</v>
      </c>
      <c r="G18" s="6" t="str">
        <f t="shared" si="3"/>
        <v>ok</v>
      </c>
      <c r="H18" s="6"/>
    </row>
    <row r="19" spans="1:8" x14ac:dyDescent="0.25">
      <c r="A19" s="3">
        <v>45859</v>
      </c>
      <c r="B19" s="3">
        <v>45859</v>
      </c>
      <c r="C19" s="4">
        <f t="shared" si="0"/>
        <v>1</v>
      </c>
      <c r="D19" s="4">
        <f t="shared" si="1"/>
        <v>45859</v>
      </c>
      <c r="E19" s="5">
        <f>SUMIFS(C$2:C19, A$2:A19, "&gt;="&amp;D19-179, A$2:A19, "&lt;="&amp;D19)</f>
        <v>35</v>
      </c>
      <c r="F19" s="6">
        <f t="shared" si="2"/>
        <v>55</v>
      </c>
      <c r="G19" s="6" t="str">
        <f t="shared" si="3"/>
        <v>ok</v>
      </c>
      <c r="H19" s="6"/>
    </row>
    <row r="20" spans="1:8" x14ac:dyDescent="0.25">
      <c r="A20" s="3">
        <v>45860</v>
      </c>
      <c r="B20" s="3">
        <v>45871</v>
      </c>
      <c r="C20" s="4">
        <f t="shared" si="0"/>
        <v>12</v>
      </c>
      <c r="D20" s="4">
        <f t="shared" si="1"/>
        <v>45860</v>
      </c>
      <c r="E20" s="5">
        <f>SUMIFS(C$2:C20, A$2:A20, "&gt;="&amp;D20-179, A$2:A20, "&lt;="&amp;D20)</f>
        <v>47</v>
      </c>
      <c r="F20" s="6">
        <f t="shared" si="2"/>
        <v>43</v>
      </c>
      <c r="G20" s="6" t="str">
        <f t="shared" si="3"/>
        <v>ok</v>
      </c>
      <c r="H20" s="6"/>
    </row>
    <row r="21" spans="1:8" x14ac:dyDescent="0.25">
      <c r="A21" s="3">
        <v>45872</v>
      </c>
      <c r="B21" s="3">
        <v>45877</v>
      </c>
      <c r="C21" s="4">
        <f t="shared" si="0"/>
        <v>6</v>
      </c>
      <c r="D21" s="4">
        <f t="shared" si="1"/>
        <v>45872</v>
      </c>
      <c r="E21" s="5">
        <f>SUMIFS(C$2:C21, A$2:A21, "&gt;="&amp;D21-179, A$2:A21, "&lt;="&amp;D21)</f>
        <v>53</v>
      </c>
      <c r="F21" s="6">
        <f t="shared" si="2"/>
        <v>37</v>
      </c>
      <c r="G21" s="6" t="str">
        <f t="shared" si="3"/>
        <v>ok</v>
      </c>
      <c r="H21" s="6"/>
    </row>
    <row r="22" spans="1:8" x14ac:dyDescent="0.25">
      <c r="A22" s="3">
        <v>45879</v>
      </c>
      <c r="B22" s="3">
        <v>45881</v>
      </c>
      <c r="C22" s="4">
        <f t="shared" si="0"/>
        <v>3</v>
      </c>
      <c r="D22" s="4">
        <f t="shared" si="1"/>
        <v>45879</v>
      </c>
      <c r="E22" s="5">
        <f>SUMIFS(C$2:C22, A$2:A22, "&gt;="&amp;D22-179, A$2:A22, "&lt;="&amp;D22)</f>
        <v>56</v>
      </c>
      <c r="F22" s="6">
        <f t="shared" si="2"/>
        <v>34</v>
      </c>
      <c r="G22" s="6" t="str">
        <f t="shared" si="3"/>
        <v>ok</v>
      </c>
      <c r="H22" s="6"/>
    </row>
    <row r="23" spans="1:8" x14ac:dyDescent="0.25">
      <c r="A23" s="3">
        <v>45882</v>
      </c>
      <c r="B23" s="3">
        <v>45883</v>
      </c>
      <c r="C23" s="4">
        <f t="shared" si="0"/>
        <v>2</v>
      </c>
      <c r="D23" s="4">
        <f t="shared" si="1"/>
        <v>45882</v>
      </c>
      <c r="E23" s="5">
        <f>SUMIFS(C$2:C23, A$2:A23, "&gt;="&amp;D23-179, A$2:A23, "&lt;="&amp;D23)</f>
        <v>58</v>
      </c>
      <c r="F23" s="6">
        <f t="shared" si="2"/>
        <v>32</v>
      </c>
      <c r="G23" s="6" t="str">
        <f t="shared" si="3"/>
        <v>ok</v>
      </c>
      <c r="H23" s="6"/>
    </row>
    <row r="24" spans="1:8" x14ac:dyDescent="0.25">
      <c r="A24" s="3">
        <v>45884</v>
      </c>
      <c r="B24" s="3">
        <v>45884</v>
      </c>
      <c r="C24" s="4">
        <f t="shared" si="0"/>
        <v>1</v>
      </c>
      <c r="D24" s="4">
        <f t="shared" si="1"/>
        <v>45884</v>
      </c>
      <c r="E24" s="5">
        <f>SUMIFS(C$2:C24, A$2:A24, "&gt;="&amp;D24-179, A$2:A24, "&lt;="&amp;D24)</f>
        <v>59</v>
      </c>
      <c r="F24" s="6">
        <f t="shared" si="2"/>
        <v>31</v>
      </c>
      <c r="G24" s="6" t="str">
        <f t="shared" si="3"/>
        <v>ok</v>
      </c>
      <c r="H24" s="6"/>
    </row>
    <row r="25" spans="1:8" x14ac:dyDescent="0.25">
      <c r="A25" s="3">
        <v>45885</v>
      </c>
      <c r="B25" s="3">
        <v>45885</v>
      </c>
      <c r="C25" s="4">
        <f t="shared" si="0"/>
        <v>1</v>
      </c>
      <c r="D25" s="4">
        <f t="shared" si="1"/>
        <v>45885</v>
      </c>
      <c r="E25" s="5">
        <f>SUMIFS(C$2:C25, A$2:A25, "&gt;="&amp;D25-179, A$2:A25, "&lt;="&amp;D25)</f>
        <v>60</v>
      </c>
      <c r="F25" s="6">
        <f t="shared" si="2"/>
        <v>30</v>
      </c>
      <c r="G25" s="6" t="str">
        <f t="shared" si="3"/>
        <v>ok</v>
      </c>
      <c r="H25" s="6"/>
    </row>
    <row r="26" spans="1:8" x14ac:dyDescent="0.25">
      <c r="A26" s="3">
        <v>45888</v>
      </c>
      <c r="B26" s="3">
        <v>45888</v>
      </c>
      <c r="C26" s="4">
        <f t="shared" si="0"/>
        <v>1</v>
      </c>
      <c r="D26" s="4">
        <f t="shared" si="1"/>
        <v>45888</v>
      </c>
      <c r="E26" s="5">
        <f>SUMIFS(C$2:C26, A$2:A26, "&gt;="&amp;D26-179, A$2:A26, "&lt;="&amp;D26)</f>
        <v>61</v>
      </c>
      <c r="F26" s="6">
        <f t="shared" si="2"/>
        <v>29</v>
      </c>
      <c r="G26" s="6" t="str">
        <f t="shared" si="3"/>
        <v>ok</v>
      </c>
      <c r="H26" s="6"/>
    </row>
    <row r="27" spans="1:8" x14ac:dyDescent="0.25">
      <c r="A27" s="3">
        <v>45889</v>
      </c>
      <c r="B27" s="3">
        <v>45889</v>
      </c>
      <c r="C27" s="4">
        <f t="shared" si="0"/>
        <v>1</v>
      </c>
      <c r="D27" s="4">
        <f t="shared" si="1"/>
        <v>45889</v>
      </c>
      <c r="E27" s="5">
        <f>SUMIFS(C$2:C27, A$2:A27, "&gt;="&amp;D27-179, A$2:A27, "&lt;="&amp;D27)</f>
        <v>62</v>
      </c>
      <c r="F27" s="6">
        <f t="shared" si="2"/>
        <v>28</v>
      </c>
      <c r="G27" s="6" t="str">
        <f t="shared" si="3"/>
        <v>ok</v>
      </c>
      <c r="H27" s="6"/>
    </row>
    <row r="28" spans="1:8" x14ac:dyDescent="0.25">
      <c r="A28" s="3">
        <v>45890</v>
      </c>
      <c r="B28" s="3">
        <v>45890</v>
      </c>
      <c r="C28" s="4">
        <f t="shared" si="0"/>
        <v>1</v>
      </c>
      <c r="D28" s="4">
        <f t="shared" si="1"/>
        <v>45890</v>
      </c>
      <c r="E28" s="5">
        <f>SUMIFS(C$2:C28, A$2:A28, "&gt;="&amp;D28-179, A$2:A28, "&lt;="&amp;D28)</f>
        <v>63</v>
      </c>
      <c r="F28" s="6">
        <f t="shared" si="2"/>
        <v>27</v>
      </c>
      <c r="G28" s="6" t="str">
        <f t="shared" si="3"/>
        <v>ok</v>
      </c>
      <c r="H28" s="6"/>
    </row>
    <row r="29" spans="1:8" x14ac:dyDescent="0.25">
      <c r="A29" s="3">
        <v>45891</v>
      </c>
      <c r="B29" s="3">
        <v>45891</v>
      </c>
      <c r="C29" s="4">
        <f t="shared" si="0"/>
        <v>1</v>
      </c>
      <c r="D29" s="4">
        <f t="shared" si="1"/>
        <v>45891</v>
      </c>
      <c r="E29" s="5">
        <f>SUMIFS(C$2:C29, A$2:A29, "&gt;="&amp;D29-179, A$2:A29, "&lt;="&amp;D29)</f>
        <v>64</v>
      </c>
      <c r="F29" s="6">
        <f t="shared" si="2"/>
        <v>26</v>
      </c>
      <c r="G29" s="6" t="str">
        <f t="shared" si="3"/>
        <v>ok</v>
      </c>
      <c r="H29" s="6"/>
    </row>
    <row r="30" spans="1:8" x14ac:dyDescent="0.25">
      <c r="A30" s="3">
        <v>45892</v>
      </c>
      <c r="B30" s="3">
        <v>45893</v>
      </c>
      <c r="C30" s="4">
        <f t="shared" si="0"/>
        <v>2</v>
      </c>
      <c r="D30" s="4">
        <f t="shared" si="1"/>
        <v>45892</v>
      </c>
      <c r="E30" s="5">
        <f>SUMIFS(C$2:C30, A$2:A30, "&gt;="&amp;D30-179, A$2:A30, "&lt;="&amp;D30)</f>
        <v>66</v>
      </c>
      <c r="F30" s="6">
        <f t="shared" si="2"/>
        <v>24</v>
      </c>
      <c r="G30" s="6" t="str">
        <f t="shared" si="3"/>
        <v>ok</v>
      </c>
      <c r="H30" s="6"/>
    </row>
    <row r="31" spans="1:8" x14ac:dyDescent="0.25">
      <c r="A31" s="3">
        <v>45894</v>
      </c>
      <c r="B31" s="3">
        <v>45899</v>
      </c>
      <c r="C31" s="4">
        <f t="shared" si="0"/>
        <v>6</v>
      </c>
      <c r="D31" s="4">
        <f t="shared" si="1"/>
        <v>45894</v>
      </c>
      <c r="E31" s="5">
        <f>SUMIFS(C$2:C31, A$2:A31, "&gt;="&amp;D31-179, A$2:A31, "&lt;="&amp;D31)</f>
        <v>72</v>
      </c>
      <c r="F31" s="6">
        <f t="shared" si="2"/>
        <v>18</v>
      </c>
      <c r="G31" s="6" t="str">
        <f t="shared" si="3"/>
        <v>ok</v>
      </c>
      <c r="H31" s="6"/>
    </row>
    <row r="32" spans="1:8" x14ac:dyDescent="0.25">
      <c r="A32" s="3">
        <v>45900</v>
      </c>
      <c r="B32" s="3">
        <v>45911</v>
      </c>
      <c r="C32" s="4">
        <f t="shared" si="0"/>
        <v>12</v>
      </c>
      <c r="D32" s="4">
        <f t="shared" si="1"/>
        <v>45900</v>
      </c>
      <c r="E32" s="5">
        <f>SUMIFS(C$2:C32, A$2:A32, "&gt;="&amp;D32-179, A$2:A32, "&lt;="&amp;D32)</f>
        <v>84</v>
      </c>
      <c r="F32" s="6">
        <f t="shared" si="2"/>
        <v>6</v>
      </c>
      <c r="G32" s="6" t="str">
        <f t="shared" si="3"/>
        <v>OPREZ</v>
      </c>
      <c r="H32" s="6"/>
    </row>
    <row r="33" spans="1:8" x14ac:dyDescent="0.25">
      <c r="A33" s="3">
        <v>45912</v>
      </c>
      <c r="B33" s="3">
        <v>45913</v>
      </c>
      <c r="C33" s="4">
        <f t="shared" si="0"/>
        <v>2</v>
      </c>
      <c r="D33" s="4">
        <f t="shared" si="1"/>
        <v>45912</v>
      </c>
      <c r="E33" s="5">
        <f>SUMIFS(C$2:C33, A$2:A33, "&gt;="&amp;D33-179, A$2:A33, "&lt;="&amp;D33)</f>
        <v>86</v>
      </c>
      <c r="F33" s="6">
        <f t="shared" si="2"/>
        <v>4</v>
      </c>
      <c r="G33" s="6" t="str">
        <f t="shared" si="3"/>
        <v>OPREZ</v>
      </c>
      <c r="H33" s="6"/>
    </row>
    <row r="34" spans="1:8" x14ac:dyDescent="0.25">
      <c r="A34" s="3">
        <v>45914</v>
      </c>
      <c r="B34" s="3">
        <v>45919</v>
      </c>
      <c r="C34" s="4">
        <f t="shared" si="0"/>
        <v>6</v>
      </c>
      <c r="D34" s="4">
        <f t="shared" si="1"/>
        <v>45914</v>
      </c>
      <c r="E34" s="5">
        <f>SUMIFS(C$2:C34, A$2:A34, "&gt;="&amp;D34-179, A$2:A34, "&lt;="&amp;D34)</f>
        <v>92</v>
      </c>
      <c r="F34" s="6">
        <f t="shared" si="2"/>
        <v>-2</v>
      </c>
      <c r="G34" s="6" t="str">
        <f t="shared" si="3"/>
        <v>PREKORAČENO</v>
      </c>
      <c r="H34" s="6"/>
    </row>
    <row r="35" spans="1:8" x14ac:dyDescent="0.25">
      <c r="A35" s="3">
        <v>45920</v>
      </c>
      <c r="B35" s="3">
        <v>45926</v>
      </c>
      <c r="C35" s="4">
        <f t="shared" si="0"/>
        <v>7</v>
      </c>
      <c r="D35" s="4">
        <f t="shared" si="1"/>
        <v>45920</v>
      </c>
      <c r="E35" s="5">
        <f>SUMIFS(C$2:C35, A$2:A35, "&gt;="&amp;D35-179, A$2:A35, "&lt;="&amp;D35)</f>
        <v>99</v>
      </c>
      <c r="F35" s="6">
        <f t="shared" si="2"/>
        <v>-9</v>
      </c>
      <c r="G35" s="6" t="str">
        <f t="shared" si="3"/>
        <v>PREKORAČENO</v>
      </c>
      <c r="H35" s="6"/>
    </row>
    <row r="36" spans="1:8" x14ac:dyDescent="0.25">
      <c r="A36" s="3">
        <v>45929</v>
      </c>
      <c r="B36" s="3">
        <v>45933</v>
      </c>
      <c r="C36" s="4">
        <f t="shared" si="0"/>
        <v>5</v>
      </c>
      <c r="D36" s="4">
        <f t="shared" si="1"/>
        <v>45929</v>
      </c>
      <c r="E36" s="5">
        <f>SUMIFS(C$2:C36, A$2:A36, "&gt;="&amp;D36-179, A$2:A36, "&lt;="&amp;D36)</f>
        <v>104</v>
      </c>
      <c r="F36" s="6">
        <f t="shared" si="2"/>
        <v>-14</v>
      </c>
      <c r="G36" s="6" t="str">
        <f t="shared" si="3"/>
        <v>PREKORAČENO</v>
      </c>
      <c r="H36" s="6"/>
    </row>
    <row r="37" spans="1:8" x14ac:dyDescent="0.25">
      <c r="A37" s="3">
        <v>45936</v>
      </c>
      <c r="B37" s="3">
        <v>45940</v>
      </c>
      <c r="C37" s="4">
        <f t="shared" si="0"/>
        <v>5</v>
      </c>
      <c r="D37" s="4">
        <f t="shared" si="1"/>
        <v>45936</v>
      </c>
      <c r="E37" s="5">
        <f>SUMIFS(C$2:C37, A$2:A37, "&gt;="&amp;D37-179, A$2:A37, "&lt;="&amp;D37)</f>
        <v>109</v>
      </c>
      <c r="F37" s="6">
        <f t="shared" si="2"/>
        <v>-19</v>
      </c>
      <c r="G37" s="6" t="str">
        <f t="shared" si="3"/>
        <v>PREKORAČENO</v>
      </c>
      <c r="H37" s="6"/>
    </row>
    <row r="38" spans="1:8" x14ac:dyDescent="0.25">
      <c r="A38" s="3">
        <v>45941</v>
      </c>
      <c r="B38" s="3">
        <v>45948</v>
      </c>
      <c r="C38" s="4">
        <f t="shared" si="0"/>
        <v>8</v>
      </c>
      <c r="D38" s="4">
        <f t="shared" si="1"/>
        <v>45941</v>
      </c>
      <c r="E38" s="5">
        <f>SUMIFS(C$2:C38, A$2:A38, "&gt;="&amp;D38-179, A$2:A38, "&lt;="&amp;D38)</f>
        <v>117</v>
      </c>
      <c r="F38" s="6">
        <f t="shared" si="2"/>
        <v>-27</v>
      </c>
      <c r="G38" s="6" t="str">
        <f t="shared" si="3"/>
        <v>PREKORAČENO</v>
      </c>
      <c r="H38" s="6"/>
    </row>
    <row r="39" spans="1:8" x14ac:dyDescent="0.25">
      <c r="A39" s="3">
        <v>45950</v>
      </c>
      <c r="B39" s="3">
        <v>45956</v>
      </c>
      <c r="C39" s="4">
        <f t="shared" si="0"/>
        <v>7</v>
      </c>
      <c r="D39" s="4">
        <f t="shared" si="1"/>
        <v>45950</v>
      </c>
      <c r="E39" s="5">
        <f>SUMIFS(C$2:C39, A$2:A39, "&gt;="&amp;D39-179, A$2:A39, "&lt;="&amp;D39)</f>
        <v>124</v>
      </c>
      <c r="F39" s="6">
        <f t="shared" si="2"/>
        <v>-34</v>
      </c>
      <c r="G39" s="6" t="str">
        <f t="shared" si="3"/>
        <v>PREKORAČENO</v>
      </c>
      <c r="H39" s="6"/>
    </row>
    <row r="40" spans="1:8" x14ac:dyDescent="0.25">
      <c r="A40" s="3">
        <v>45957</v>
      </c>
      <c r="B40" s="3">
        <v>45960</v>
      </c>
      <c r="C40" s="4">
        <f t="shared" si="0"/>
        <v>4</v>
      </c>
      <c r="D40" s="4">
        <f t="shared" si="1"/>
        <v>45957</v>
      </c>
      <c r="E40" s="5">
        <f>SUMIFS(C$2:C40, A$2:A40, "&gt;="&amp;D40-179, A$2:A40, "&lt;="&amp;D40)</f>
        <v>128</v>
      </c>
      <c r="F40" s="6">
        <f t="shared" si="2"/>
        <v>-38</v>
      </c>
      <c r="G40" s="6" t="str">
        <f t="shared" si="3"/>
        <v>PREKORAČENO</v>
      </c>
      <c r="H40" s="6"/>
    </row>
    <row r="41" spans="1:8" x14ac:dyDescent="0.25">
      <c r="A41" s="3">
        <v>45961</v>
      </c>
      <c r="B41" s="3">
        <v>45971</v>
      </c>
      <c r="C41" s="4">
        <f t="shared" si="0"/>
        <v>11</v>
      </c>
      <c r="D41" s="4">
        <f t="shared" si="1"/>
        <v>45961</v>
      </c>
      <c r="E41" s="5">
        <f>SUMIFS(C$2:C41, A$2:A41, "&gt;="&amp;D41-179, A$2:A41, "&lt;="&amp;D41)</f>
        <v>139</v>
      </c>
      <c r="F41" s="6">
        <f t="shared" si="2"/>
        <v>-49</v>
      </c>
      <c r="G41" s="6" t="str">
        <f t="shared" si="3"/>
        <v>PREKORAČENO</v>
      </c>
      <c r="H41" s="6"/>
    </row>
    <row r="42" spans="1:8" x14ac:dyDescent="0.25">
      <c r="A42" s="3">
        <v>45972</v>
      </c>
      <c r="B42" s="3">
        <v>45974</v>
      </c>
      <c r="C42" s="4">
        <f t="shared" si="0"/>
        <v>3</v>
      </c>
      <c r="D42" s="4">
        <f t="shared" si="1"/>
        <v>45972</v>
      </c>
      <c r="E42" s="5">
        <f>SUMIFS(C$2:C42, A$2:A42, "&gt;="&amp;D42-179, A$2:A42, "&lt;="&amp;D42)</f>
        <v>142</v>
      </c>
      <c r="F42" s="6">
        <f t="shared" si="2"/>
        <v>-52</v>
      </c>
      <c r="G42" s="6" t="str">
        <f t="shared" si="3"/>
        <v>PREKORAČENO</v>
      </c>
      <c r="H42" s="6"/>
    </row>
    <row r="43" spans="1:8" x14ac:dyDescent="0.25">
      <c r="A43" s="3"/>
      <c r="B43" s="3"/>
      <c r="C43" s="4">
        <f t="shared" si="0"/>
        <v>1</v>
      </c>
      <c r="D43" s="4">
        <f t="shared" si="1"/>
        <v>0</v>
      </c>
      <c r="E43" s="5">
        <f>SUMIFS(C$2:C43, A$2:A43, "&gt;="&amp;D43-179, A$2:A43, "&lt;="&amp;D43)</f>
        <v>0</v>
      </c>
      <c r="F43" s="6">
        <f t="shared" si="2"/>
        <v>90</v>
      </c>
      <c r="G43" s="6" t="str">
        <f t="shared" si="3"/>
        <v>ok</v>
      </c>
      <c r="H43" s="6"/>
    </row>
    <row r="44" spans="1:8" x14ac:dyDescent="0.25">
      <c r="A44" s="3"/>
      <c r="B44" s="3"/>
      <c r="C44" s="4">
        <f t="shared" si="0"/>
        <v>1</v>
      </c>
      <c r="D44" s="4">
        <f t="shared" si="1"/>
        <v>0</v>
      </c>
      <c r="E44" s="5">
        <f>SUMIFS(C$2:C44, A$2:A44, "&gt;="&amp;D44-179, A$2:A44, "&lt;="&amp;D44)</f>
        <v>0</v>
      </c>
      <c r="F44" s="6">
        <f t="shared" si="2"/>
        <v>90</v>
      </c>
      <c r="G44" s="6" t="str">
        <f t="shared" si="3"/>
        <v>ok</v>
      </c>
      <c r="H44" s="6"/>
    </row>
    <row r="45" spans="1:8" x14ac:dyDescent="0.25">
      <c r="A45" s="3"/>
      <c r="B45" s="3"/>
      <c r="C45" s="4">
        <f t="shared" si="0"/>
        <v>1</v>
      </c>
      <c r="D45" s="4">
        <f t="shared" si="1"/>
        <v>0</v>
      </c>
      <c r="E45" s="5">
        <f>SUMIFS(C$2:C45, A$2:A45, "&gt;="&amp;D45-179, A$2:A45, "&lt;="&amp;D45)</f>
        <v>0</v>
      </c>
      <c r="F45" s="6">
        <f t="shared" si="2"/>
        <v>90</v>
      </c>
      <c r="G45" s="6" t="str">
        <f t="shared" si="3"/>
        <v>ok</v>
      </c>
      <c r="H45" s="6"/>
    </row>
    <row r="46" spans="1:8" x14ac:dyDescent="0.25">
      <c r="A46" s="3"/>
      <c r="B46" s="3"/>
      <c r="C46" s="4">
        <f t="shared" si="0"/>
        <v>1</v>
      </c>
      <c r="D46" s="4">
        <f t="shared" si="1"/>
        <v>0</v>
      </c>
      <c r="E46" s="5">
        <f>SUMIFS(C$2:C46, A$2:A46, "&gt;="&amp;D46-179, A$2:A46, "&lt;="&amp;D46)</f>
        <v>0</v>
      </c>
      <c r="F46" s="6">
        <f t="shared" si="2"/>
        <v>90</v>
      </c>
      <c r="G46" s="6" t="str">
        <f t="shared" si="3"/>
        <v>ok</v>
      </c>
      <c r="H46" s="6"/>
    </row>
    <row r="47" spans="1:8" x14ac:dyDescent="0.25">
      <c r="A47" s="3"/>
      <c r="B47" s="3"/>
      <c r="C47" s="4">
        <f t="shared" si="0"/>
        <v>1</v>
      </c>
      <c r="D47" s="4">
        <f t="shared" si="1"/>
        <v>0</v>
      </c>
      <c r="E47" s="5">
        <f>SUMIFS(C$2:C47, A$2:A47, "&gt;="&amp;D47-179, A$2:A47, "&lt;="&amp;D47)</f>
        <v>0</v>
      </c>
      <c r="F47" s="6">
        <f t="shared" si="2"/>
        <v>90</v>
      </c>
      <c r="G47" s="6" t="str">
        <f t="shared" si="3"/>
        <v>ok</v>
      </c>
      <c r="H47" s="6"/>
    </row>
    <row r="48" spans="1:8" x14ac:dyDescent="0.25">
      <c r="A48" s="3"/>
      <c r="B48" s="3"/>
      <c r="C48" s="4">
        <f t="shared" si="0"/>
        <v>1</v>
      </c>
      <c r="D48" s="4">
        <f t="shared" si="1"/>
        <v>0</v>
      </c>
      <c r="E48" s="5">
        <f>SUMIFS(C$2:C48, A$2:A48, "&gt;="&amp;D48-179, A$2:A48, "&lt;="&amp;D48)</f>
        <v>0</v>
      </c>
      <c r="F48" s="6">
        <f t="shared" si="2"/>
        <v>90</v>
      </c>
      <c r="G48" s="6" t="str">
        <f t="shared" si="3"/>
        <v>ok</v>
      </c>
      <c r="H48" s="6"/>
    </row>
    <row r="49" spans="1:8" x14ac:dyDescent="0.25">
      <c r="A49" s="3"/>
      <c r="B49" s="3"/>
      <c r="C49" s="4">
        <f t="shared" si="0"/>
        <v>1</v>
      </c>
      <c r="D49" s="4">
        <f t="shared" si="1"/>
        <v>0</v>
      </c>
      <c r="E49" s="5">
        <f>SUMIFS(C$2:C49, A$2:A49, "&gt;="&amp;D49-179, A$2:A49, "&lt;="&amp;D49)</f>
        <v>0</v>
      </c>
      <c r="F49" s="6">
        <f t="shared" si="2"/>
        <v>90</v>
      </c>
      <c r="G49" s="6" t="str">
        <f t="shared" si="3"/>
        <v>ok</v>
      </c>
      <c r="H49" s="6"/>
    </row>
    <row r="50" spans="1:8" x14ac:dyDescent="0.25">
      <c r="A50" s="3"/>
      <c r="B50" s="3"/>
      <c r="C50" s="4">
        <f t="shared" si="0"/>
        <v>1</v>
      </c>
      <c r="D50" s="4">
        <f t="shared" si="1"/>
        <v>0</v>
      </c>
      <c r="E50" s="5">
        <f>SUMIFS(C$2:C50, A$2:A50, "&gt;="&amp;D50-179, A$2:A50, "&lt;="&amp;D50)</f>
        <v>0</v>
      </c>
      <c r="F50" s="6">
        <f t="shared" si="2"/>
        <v>90</v>
      </c>
      <c r="G50" s="6" t="str">
        <f t="shared" si="3"/>
        <v>ok</v>
      </c>
      <c r="H50" s="6"/>
    </row>
    <row r="51" spans="1:8" x14ac:dyDescent="0.25">
      <c r="A51" s="3"/>
      <c r="B51" s="3"/>
      <c r="C51" s="4">
        <f t="shared" si="0"/>
        <v>1</v>
      </c>
      <c r="D51" s="4">
        <f t="shared" si="1"/>
        <v>0</v>
      </c>
      <c r="E51" s="5">
        <f>SUMIFS(C$2:C51, A$2:A51, "&gt;="&amp;D51-179, A$2:A51, "&lt;="&amp;D51)</f>
        <v>0</v>
      </c>
      <c r="F51" s="6">
        <f t="shared" si="2"/>
        <v>90</v>
      </c>
      <c r="G51" s="6" t="str">
        <f t="shared" si="3"/>
        <v>ok</v>
      </c>
      <c r="H51" s="6"/>
    </row>
    <row r="52" spans="1:8" x14ac:dyDescent="0.25">
      <c r="A52" s="3"/>
      <c r="B52" s="3"/>
      <c r="C52" s="4">
        <f t="shared" si="0"/>
        <v>1</v>
      </c>
      <c r="D52" s="4">
        <f t="shared" si="1"/>
        <v>0</v>
      </c>
      <c r="E52" s="5">
        <f>SUMIFS(C$2:C52, A$2:A52, "&gt;="&amp;D52-179, A$2:A52, "&lt;="&amp;D52)</f>
        <v>0</v>
      </c>
      <c r="F52" s="6">
        <f t="shared" si="2"/>
        <v>90</v>
      </c>
      <c r="G52" s="6" t="str">
        <f t="shared" si="3"/>
        <v>ok</v>
      </c>
      <c r="H52" s="6"/>
    </row>
    <row r="53" spans="1:8" x14ac:dyDescent="0.25">
      <c r="A53" s="3"/>
      <c r="B53" s="3"/>
      <c r="C53" s="4">
        <f t="shared" si="0"/>
        <v>1</v>
      </c>
      <c r="D53" s="4">
        <f t="shared" si="1"/>
        <v>0</v>
      </c>
      <c r="E53" s="5">
        <f>SUMIFS(C$2:C53, A$2:A53, "&gt;="&amp;D53-179, A$2:A53, "&lt;="&amp;D53)</f>
        <v>0</v>
      </c>
      <c r="F53" s="6">
        <f t="shared" si="2"/>
        <v>90</v>
      </c>
      <c r="G53" s="6" t="str">
        <f t="shared" si="3"/>
        <v>ok</v>
      </c>
      <c r="H53" s="6"/>
    </row>
    <row r="54" spans="1:8" x14ac:dyDescent="0.25">
      <c r="A54" s="3"/>
      <c r="B54" s="3"/>
      <c r="C54" s="4">
        <f t="shared" si="0"/>
        <v>1</v>
      </c>
      <c r="D54" s="4">
        <f t="shared" si="1"/>
        <v>0</v>
      </c>
      <c r="E54" s="5">
        <f>SUMIFS(C$2:C54, A$2:A54, "&gt;="&amp;D54-179, A$2:A54, "&lt;="&amp;D54)</f>
        <v>0</v>
      </c>
      <c r="F54" s="6">
        <f t="shared" si="2"/>
        <v>90</v>
      </c>
      <c r="G54" s="6" t="str">
        <f t="shared" si="3"/>
        <v>ok</v>
      </c>
      <c r="H54" s="6"/>
    </row>
    <row r="55" spans="1:8" x14ac:dyDescent="0.25">
      <c r="A55" s="3"/>
      <c r="B55" s="3"/>
      <c r="C55" s="4">
        <f t="shared" si="0"/>
        <v>1</v>
      </c>
      <c r="D55" s="4">
        <f t="shared" si="1"/>
        <v>0</v>
      </c>
      <c r="E55" s="5">
        <f>SUMIFS(C$2:C55, A$2:A55, "&gt;="&amp;D55-179, A$2:A55, "&lt;="&amp;D55)</f>
        <v>0</v>
      </c>
      <c r="F55" s="6">
        <f t="shared" si="2"/>
        <v>90</v>
      </c>
      <c r="G55" s="6" t="str">
        <f t="shared" si="3"/>
        <v>ok</v>
      </c>
      <c r="H55" s="6"/>
    </row>
    <row r="56" spans="1:8" x14ac:dyDescent="0.25">
      <c r="A56" s="3"/>
      <c r="B56" s="3"/>
      <c r="C56" s="4">
        <f t="shared" si="0"/>
        <v>1</v>
      </c>
      <c r="D56" s="4">
        <f t="shared" si="1"/>
        <v>0</v>
      </c>
      <c r="E56" s="5">
        <f>SUMIFS(C$2:C56, A$2:A56, "&gt;="&amp;D56-179, A$2:A56, "&lt;="&amp;D56)</f>
        <v>0</v>
      </c>
      <c r="F56" s="6">
        <f t="shared" si="2"/>
        <v>90</v>
      </c>
      <c r="G56" s="6" t="str">
        <f t="shared" si="3"/>
        <v>ok</v>
      </c>
      <c r="H56" s="6"/>
    </row>
    <row r="57" spans="1:8" x14ac:dyDescent="0.25">
      <c r="A57" s="3"/>
      <c r="B57" s="3"/>
      <c r="C57" s="4">
        <f t="shared" si="0"/>
        <v>1</v>
      </c>
      <c r="D57" s="4">
        <f t="shared" si="1"/>
        <v>0</v>
      </c>
      <c r="E57" s="5">
        <f>SUMIFS(C$2:C57, A$2:A57, "&gt;="&amp;D57-179, A$2:A57, "&lt;="&amp;D57)</f>
        <v>0</v>
      </c>
      <c r="F57" s="6">
        <f t="shared" si="2"/>
        <v>90</v>
      </c>
      <c r="G57" s="6" t="str">
        <f t="shared" si="3"/>
        <v>ok</v>
      </c>
      <c r="H57" s="6"/>
    </row>
    <row r="58" spans="1:8" x14ac:dyDescent="0.25">
      <c r="A58" s="3"/>
      <c r="B58" s="3"/>
      <c r="C58" s="4">
        <f t="shared" si="0"/>
        <v>1</v>
      </c>
      <c r="D58" s="4">
        <f t="shared" si="1"/>
        <v>0</v>
      </c>
      <c r="E58" s="5">
        <f>SUMIFS(C$2:C58, A$2:A58, "&gt;="&amp;D58-179, A$2:A58, "&lt;="&amp;D58)</f>
        <v>0</v>
      </c>
      <c r="F58" s="6">
        <f t="shared" si="2"/>
        <v>90</v>
      </c>
      <c r="G58" s="6" t="str">
        <f t="shared" si="3"/>
        <v>ok</v>
      </c>
      <c r="H58" s="6"/>
    </row>
    <row r="59" spans="1:8" x14ac:dyDescent="0.25">
      <c r="A59" s="3"/>
      <c r="B59" s="3"/>
      <c r="C59" s="4">
        <f t="shared" si="0"/>
        <v>1</v>
      </c>
      <c r="D59" s="4">
        <f t="shared" si="1"/>
        <v>0</v>
      </c>
      <c r="E59" s="5">
        <f>SUMIFS(C$2:C59, A$2:A59, "&gt;="&amp;D59-179, A$2:A59, "&lt;="&amp;D59)</f>
        <v>0</v>
      </c>
      <c r="F59" s="6">
        <f t="shared" si="2"/>
        <v>90</v>
      </c>
      <c r="G59" s="6" t="str">
        <f t="shared" si="3"/>
        <v>ok</v>
      </c>
      <c r="H59" s="6"/>
    </row>
    <row r="60" spans="1:8" x14ac:dyDescent="0.25">
      <c r="A60" s="3"/>
      <c r="B60" s="3"/>
      <c r="C60" s="4">
        <f t="shared" si="0"/>
        <v>1</v>
      </c>
      <c r="D60" s="4">
        <f t="shared" si="1"/>
        <v>0</v>
      </c>
      <c r="E60" s="5">
        <f>SUMIFS(C$2:C60, A$2:A60, "&gt;="&amp;D60-179, A$2:A60, "&lt;="&amp;D60)</f>
        <v>0</v>
      </c>
      <c r="F60" s="6">
        <f t="shared" si="2"/>
        <v>90</v>
      </c>
      <c r="G60" s="6" t="str">
        <f t="shared" si="3"/>
        <v>ok</v>
      </c>
      <c r="H60" s="6"/>
    </row>
    <row r="61" spans="1:8" x14ac:dyDescent="0.25">
      <c r="A61" s="3"/>
      <c r="B61" s="3"/>
      <c r="C61" s="4">
        <f t="shared" si="0"/>
        <v>1</v>
      </c>
      <c r="D61" s="4">
        <f t="shared" si="1"/>
        <v>0</v>
      </c>
      <c r="E61" s="5">
        <f>SUMIFS(C$2:C61, A$2:A61, "&gt;="&amp;D61-179, A$2:A61, "&lt;="&amp;D61)</f>
        <v>0</v>
      </c>
      <c r="F61" s="6">
        <f t="shared" si="2"/>
        <v>90</v>
      </c>
      <c r="G61" s="6" t="str">
        <f t="shared" si="3"/>
        <v>ok</v>
      </c>
      <c r="H61" s="6"/>
    </row>
    <row r="62" spans="1:8" x14ac:dyDescent="0.25">
      <c r="A62" s="3"/>
      <c r="B62" s="3"/>
      <c r="C62" s="4">
        <f t="shared" si="0"/>
        <v>1</v>
      </c>
      <c r="D62" s="4">
        <f t="shared" si="1"/>
        <v>0</v>
      </c>
      <c r="E62" s="5">
        <f>SUMIFS(C$2:C62, A$2:A62, "&gt;="&amp;D62-179, A$2:A62, "&lt;="&amp;D62)</f>
        <v>0</v>
      </c>
      <c r="F62" s="6">
        <f t="shared" si="2"/>
        <v>90</v>
      </c>
      <c r="G62" s="6" t="str">
        <f t="shared" si="3"/>
        <v>ok</v>
      </c>
      <c r="H62" s="6"/>
    </row>
    <row r="63" spans="1:8" x14ac:dyDescent="0.25">
      <c r="A63" s="3"/>
      <c r="B63" s="3"/>
      <c r="C63" s="4">
        <f t="shared" si="0"/>
        <v>1</v>
      </c>
      <c r="D63" s="4">
        <f t="shared" si="1"/>
        <v>0</v>
      </c>
      <c r="E63" s="5">
        <f>SUMIFS(C$2:C63, A$2:A63, "&gt;="&amp;D63-179, A$2:A63, "&lt;="&amp;D63)</f>
        <v>0</v>
      </c>
      <c r="F63" s="6">
        <f t="shared" si="2"/>
        <v>90</v>
      </c>
      <c r="G63" s="6" t="str">
        <f t="shared" si="3"/>
        <v>ok</v>
      </c>
      <c r="H63" s="6"/>
    </row>
    <row r="64" spans="1:8" x14ac:dyDescent="0.25">
      <c r="A64" s="3"/>
      <c r="B64" s="3"/>
      <c r="C64" s="4">
        <f t="shared" si="0"/>
        <v>1</v>
      </c>
      <c r="D64" s="4">
        <f t="shared" si="1"/>
        <v>0</v>
      </c>
      <c r="E64" s="5">
        <f>SUMIFS(C$2:C64, A$2:A64, "&gt;="&amp;D64-179, A$2:A64, "&lt;="&amp;D64)</f>
        <v>0</v>
      </c>
      <c r="F64" s="6">
        <f t="shared" si="2"/>
        <v>90</v>
      </c>
      <c r="G64" s="6" t="str">
        <f t="shared" si="3"/>
        <v>ok</v>
      </c>
      <c r="H64" s="6"/>
    </row>
    <row r="65" spans="1:8" x14ac:dyDescent="0.25">
      <c r="A65" s="3"/>
      <c r="B65" s="3"/>
      <c r="C65" s="4">
        <f t="shared" si="0"/>
        <v>1</v>
      </c>
      <c r="D65" s="4">
        <f t="shared" si="1"/>
        <v>0</v>
      </c>
      <c r="E65" s="5">
        <f>SUMIFS(C$2:C65, A$2:A65, "&gt;="&amp;D65-179, A$2:A65, "&lt;="&amp;D65)</f>
        <v>0</v>
      </c>
      <c r="F65" s="6">
        <f t="shared" si="2"/>
        <v>90</v>
      </c>
      <c r="G65" s="6" t="str">
        <f t="shared" si="3"/>
        <v>ok</v>
      </c>
      <c r="H65" s="6"/>
    </row>
    <row r="66" spans="1:8" x14ac:dyDescent="0.25">
      <c r="A66" s="3"/>
      <c r="B66" s="3"/>
      <c r="C66" s="4">
        <f t="shared" si="0"/>
        <v>1</v>
      </c>
      <c r="D66" s="4">
        <f t="shared" si="1"/>
        <v>0</v>
      </c>
      <c r="E66" s="5">
        <f>SUMIFS(C$2:C66, A$2:A66, "&gt;="&amp;D66-179, A$2:A66, "&lt;="&amp;D66)</f>
        <v>0</v>
      </c>
      <c r="F66" s="6">
        <f t="shared" si="2"/>
        <v>90</v>
      </c>
      <c r="G66" s="6" t="str">
        <f t="shared" si="3"/>
        <v>ok</v>
      </c>
      <c r="H66" s="6"/>
    </row>
    <row r="67" spans="1:8" x14ac:dyDescent="0.25">
      <c r="A67" s="3"/>
      <c r="B67" s="3"/>
      <c r="C67" s="4">
        <f t="shared" ref="C67:C130" si="4">MAX(B67-A67+1,0)</f>
        <v>1</v>
      </c>
      <c r="D67" s="4">
        <f t="shared" ref="D67:D130" si="5">A67</f>
        <v>0</v>
      </c>
      <c r="E67" s="5">
        <f>SUMIFS(C$2:C67, A$2:A67, "&gt;="&amp;D67-179, A$2:A67, "&lt;="&amp;D67)</f>
        <v>0</v>
      </c>
      <c r="F67" s="6">
        <f t="shared" ref="F67:F130" si="6">90-E67</f>
        <v>90</v>
      </c>
      <c r="G67" s="6" t="str">
        <f t="shared" ref="G67:G130" si="7">IF(E67&gt;90,"PREKORAČENO",IF(E67&gt;80,"OPREZ","ok"))</f>
        <v>ok</v>
      </c>
      <c r="H67" s="6"/>
    </row>
    <row r="68" spans="1:8" x14ac:dyDescent="0.25">
      <c r="A68" s="3"/>
      <c r="B68" s="3"/>
      <c r="C68" s="4">
        <f t="shared" si="4"/>
        <v>1</v>
      </c>
      <c r="D68" s="4">
        <f t="shared" si="5"/>
        <v>0</v>
      </c>
      <c r="E68" s="5">
        <f>SUMIFS(C$2:C68, A$2:A68, "&gt;="&amp;D68-179, A$2:A68, "&lt;="&amp;D68)</f>
        <v>0</v>
      </c>
      <c r="F68" s="6">
        <f t="shared" si="6"/>
        <v>90</v>
      </c>
      <c r="G68" s="6" t="str">
        <f t="shared" si="7"/>
        <v>ok</v>
      </c>
      <c r="H68" s="6"/>
    </row>
    <row r="69" spans="1:8" x14ac:dyDescent="0.25">
      <c r="A69" s="3"/>
      <c r="B69" s="3"/>
      <c r="C69" s="4">
        <f t="shared" si="4"/>
        <v>1</v>
      </c>
      <c r="D69" s="4">
        <f t="shared" si="5"/>
        <v>0</v>
      </c>
      <c r="E69" s="5">
        <f>SUMIFS(C$2:C69, A$2:A69, "&gt;="&amp;D69-179, A$2:A69, "&lt;="&amp;D69)</f>
        <v>0</v>
      </c>
      <c r="F69" s="6">
        <f t="shared" si="6"/>
        <v>90</v>
      </c>
      <c r="G69" s="6" t="str">
        <f t="shared" si="7"/>
        <v>ok</v>
      </c>
      <c r="H69" s="6"/>
    </row>
    <row r="70" spans="1:8" x14ac:dyDescent="0.25">
      <c r="A70" s="3"/>
      <c r="B70" s="3"/>
      <c r="C70" s="4">
        <f t="shared" si="4"/>
        <v>1</v>
      </c>
      <c r="D70" s="4">
        <f t="shared" si="5"/>
        <v>0</v>
      </c>
      <c r="E70" s="5">
        <f>SUMIFS(C$2:C70, A$2:A70, "&gt;="&amp;D70-179, A$2:A70, "&lt;="&amp;D70)</f>
        <v>0</v>
      </c>
      <c r="F70" s="6">
        <f t="shared" si="6"/>
        <v>90</v>
      </c>
      <c r="G70" s="6" t="str">
        <f t="shared" si="7"/>
        <v>ok</v>
      </c>
      <c r="H70" s="6"/>
    </row>
    <row r="71" spans="1:8" x14ac:dyDescent="0.25">
      <c r="A71" s="3"/>
      <c r="B71" s="3"/>
      <c r="C71" s="4">
        <f t="shared" si="4"/>
        <v>1</v>
      </c>
      <c r="D71" s="4">
        <f t="shared" si="5"/>
        <v>0</v>
      </c>
      <c r="E71" s="5">
        <f>SUMIFS(C$2:C71, A$2:A71, "&gt;="&amp;D71-179, A$2:A71, "&lt;="&amp;D71)</f>
        <v>0</v>
      </c>
      <c r="F71" s="6">
        <f t="shared" si="6"/>
        <v>90</v>
      </c>
      <c r="G71" s="6" t="str">
        <f t="shared" si="7"/>
        <v>ok</v>
      </c>
      <c r="H71" s="6"/>
    </row>
    <row r="72" spans="1:8" x14ac:dyDescent="0.25">
      <c r="A72" s="3"/>
      <c r="B72" s="3"/>
      <c r="C72" s="4">
        <f t="shared" si="4"/>
        <v>1</v>
      </c>
      <c r="D72" s="4">
        <f t="shared" si="5"/>
        <v>0</v>
      </c>
      <c r="E72" s="5">
        <f>SUMIFS(C$2:C72, A$2:A72, "&gt;="&amp;D72-179, A$2:A72, "&lt;="&amp;D72)</f>
        <v>0</v>
      </c>
      <c r="F72" s="6">
        <f t="shared" si="6"/>
        <v>90</v>
      </c>
      <c r="G72" s="6" t="str">
        <f t="shared" si="7"/>
        <v>ok</v>
      </c>
      <c r="H72" s="6"/>
    </row>
    <row r="73" spans="1:8" x14ac:dyDescent="0.25">
      <c r="A73" s="3"/>
      <c r="B73" s="3"/>
      <c r="C73" s="4">
        <f t="shared" si="4"/>
        <v>1</v>
      </c>
      <c r="D73" s="4">
        <f t="shared" si="5"/>
        <v>0</v>
      </c>
      <c r="E73" s="5">
        <f>SUMIFS(C$2:C73, A$2:A73, "&gt;="&amp;D73-179, A$2:A73, "&lt;="&amp;D73)</f>
        <v>0</v>
      </c>
      <c r="F73" s="6">
        <f t="shared" si="6"/>
        <v>90</v>
      </c>
      <c r="G73" s="6" t="str">
        <f t="shared" si="7"/>
        <v>ok</v>
      </c>
      <c r="H73" s="6"/>
    </row>
    <row r="74" spans="1:8" x14ac:dyDescent="0.25">
      <c r="A74" s="3"/>
      <c r="B74" s="3"/>
      <c r="C74" s="4">
        <f t="shared" si="4"/>
        <v>1</v>
      </c>
      <c r="D74" s="4">
        <f t="shared" si="5"/>
        <v>0</v>
      </c>
      <c r="E74" s="5">
        <f>SUMIFS(C$2:C74, A$2:A74, "&gt;="&amp;D74-179, A$2:A74, "&lt;="&amp;D74)</f>
        <v>0</v>
      </c>
      <c r="F74" s="6">
        <f t="shared" si="6"/>
        <v>90</v>
      </c>
      <c r="G74" s="6" t="str">
        <f t="shared" si="7"/>
        <v>ok</v>
      </c>
      <c r="H74" s="6"/>
    </row>
    <row r="75" spans="1:8" x14ac:dyDescent="0.25">
      <c r="A75" s="3"/>
      <c r="B75" s="3"/>
      <c r="C75" s="4">
        <f t="shared" si="4"/>
        <v>1</v>
      </c>
      <c r="D75" s="4">
        <f t="shared" si="5"/>
        <v>0</v>
      </c>
      <c r="E75" s="5">
        <f>SUMIFS(C$2:C75, A$2:A75, "&gt;="&amp;D75-179, A$2:A75, "&lt;="&amp;D75)</f>
        <v>0</v>
      </c>
      <c r="F75" s="6">
        <f t="shared" si="6"/>
        <v>90</v>
      </c>
      <c r="G75" s="6" t="str">
        <f t="shared" si="7"/>
        <v>ok</v>
      </c>
      <c r="H75" s="6"/>
    </row>
    <row r="76" spans="1:8" x14ac:dyDescent="0.25">
      <c r="A76" s="3"/>
      <c r="B76" s="3"/>
      <c r="C76" s="4">
        <f t="shared" si="4"/>
        <v>1</v>
      </c>
      <c r="D76" s="4">
        <f t="shared" si="5"/>
        <v>0</v>
      </c>
      <c r="E76" s="5">
        <f>SUMIFS(C$2:C76, A$2:A76, "&gt;="&amp;D76-179, A$2:A76, "&lt;="&amp;D76)</f>
        <v>0</v>
      </c>
      <c r="F76" s="6">
        <f t="shared" si="6"/>
        <v>90</v>
      </c>
      <c r="G76" s="6" t="str">
        <f t="shared" si="7"/>
        <v>ok</v>
      </c>
      <c r="H76" s="6"/>
    </row>
    <row r="77" spans="1:8" x14ac:dyDescent="0.25">
      <c r="A77" s="3"/>
      <c r="B77" s="3"/>
      <c r="C77" s="4">
        <f t="shared" si="4"/>
        <v>1</v>
      </c>
      <c r="D77" s="4">
        <f t="shared" si="5"/>
        <v>0</v>
      </c>
      <c r="E77" s="5">
        <f>SUMIFS(C$2:C77, A$2:A77, "&gt;="&amp;D77-179, A$2:A77, "&lt;="&amp;D77)</f>
        <v>0</v>
      </c>
      <c r="F77" s="6">
        <f t="shared" si="6"/>
        <v>90</v>
      </c>
      <c r="G77" s="6" t="str">
        <f t="shared" si="7"/>
        <v>ok</v>
      </c>
      <c r="H77" s="6"/>
    </row>
    <row r="78" spans="1:8" x14ac:dyDescent="0.25">
      <c r="A78" s="3"/>
      <c r="B78" s="3"/>
      <c r="C78" s="4">
        <f t="shared" si="4"/>
        <v>1</v>
      </c>
      <c r="D78" s="4">
        <f t="shared" si="5"/>
        <v>0</v>
      </c>
      <c r="E78" s="5">
        <f>SUMIFS(C$2:C78, A$2:A78, "&gt;="&amp;D78-179, A$2:A78, "&lt;="&amp;D78)</f>
        <v>0</v>
      </c>
      <c r="F78" s="6">
        <f t="shared" si="6"/>
        <v>90</v>
      </c>
      <c r="G78" s="6" t="str">
        <f t="shared" si="7"/>
        <v>ok</v>
      </c>
      <c r="H78" s="6"/>
    </row>
    <row r="79" spans="1:8" x14ac:dyDescent="0.25">
      <c r="A79" s="3"/>
      <c r="B79" s="3"/>
      <c r="C79" s="4">
        <f t="shared" si="4"/>
        <v>1</v>
      </c>
      <c r="D79" s="4">
        <f t="shared" si="5"/>
        <v>0</v>
      </c>
      <c r="E79" s="5">
        <f>SUMIFS(C$2:C79, A$2:A79, "&gt;="&amp;D79-179, A$2:A79, "&lt;="&amp;D79)</f>
        <v>0</v>
      </c>
      <c r="F79" s="6">
        <f t="shared" si="6"/>
        <v>90</v>
      </c>
      <c r="G79" s="6" t="str">
        <f t="shared" si="7"/>
        <v>ok</v>
      </c>
      <c r="H79" s="6"/>
    </row>
    <row r="80" spans="1:8" x14ac:dyDescent="0.25">
      <c r="A80" s="3"/>
      <c r="B80" s="3"/>
      <c r="C80" s="4">
        <f t="shared" si="4"/>
        <v>1</v>
      </c>
      <c r="D80" s="4">
        <f t="shared" si="5"/>
        <v>0</v>
      </c>
      <c r="E80" s="5">
        <f>SUMIFS(C$2:C80, A$2:A80, "&gt;="&amp;D80-179, A$2:A80, "&lt;="&amp;D80)</f>
        <v>0</v>
      </c>
      <c r="F80" s="6">
        <f t="shared" si="6"/>
        <v>90</v>
      </c>
      <c r="G80" s="6" t="str">
        <f t="shared" si="7"/>
        <v>ok</v>
      </c>
      <c r="H80" s="6"/>
    </row>
    <row r="81" spans="1:8" x14ac:dyDescent="0.25">
      <c r="A81" s="3"/>
      <c r="B81" s="3"/>
      <c r="C81" s="4">
        <f t="shared" si="4"/>
        <v>1</v>
      </c>
      <c r="D81" s="4">
        <f t="shared" si="5"/>
        <v>0</v>
      </c>
      <c r="E81" s="5">
        <f>SUMIFS(C$2:C81, A$2:A81, "&gt;="&amp;D81-179, A$2:A81, "&lt;="&amp;D81)</f>
        <v>0</v>
      </c>
      <c r="F81" s="6">
        <f t="shared" si="6"/>
        <v>90</v>
      </c>
      <c r="G81" s="6" t="str">
        <f t="shared" si="7"/>
        <v>ok</v>
      </c>
      <c r="H81" s="6"/>
    </row>
    <row r="82" spans="1:8" x14ac:dyDescent="0.25">
      <c r="A82" s="3"/>
      <c r="B82" s="3"/>
      <c r="C82" s="4">
        <f t="shared" si="4"/>
        <v>1</v>
      </c>
      <c r="D82" s="4">
        <f t="shared" si="5"/>
        <v>0</v>
      </c>
      <c r="E82" s="5">
        <f>SUMIFS(C$2:C82, A$2:A82, "&gt;="&amp;D82-179, A$2:A82, "&lt;="&amp;D82)</f>
        <v>0</v>
      </c>
      <c r="F82" s="6">
        <f t="shared" si="6"/>
        <v>90</v>
      </c>
      <c r="G82" s="6" t="str">
        <f t="shared" si="7"/>
        <v>ok</v>
      </c>
      <c r="H82" s="6"/>
    </row>
    <row r="83" spans="1:8" x14ac:dyDescent="0.25">
      <c r="A83" s="3"/>
      <c r="B83" s="3"/>
      <c r="C83" s="4">
        <f t="shared" si="4"/>
        <v>1</v>
      </c>
      <c r="D83" s="4">
        <f t="shared" si="5"/>
        <v>0</v>
      </c>
      <c r="E83" s="5">
        <f>SUMIFS(C$2:C83, A$2:A83, "&gt;="&amp;D83-179, A$2:A83, "&lt;="&amp;D83)</f>
        <v>0</v>
      </c>
      <c r="F83" s="6">
        <f t="shared" si="6"/>
        <v>90</v>
      </c>
      <c r="G83" s="6" t="str">
        <f t="shared" si="7"/>
        <v>ok</v>
      </c>
      <c r="H83" s="6"/>
    </row>
    <row r="84" spans="1:8" x14ac:dyDescent="0.25">
      <c r="A84" s="3"/>
      <c r="B84" s="3"/>
      <c r="C84" s="4">
        <f t="shared" si="4"/>
        <v>1</v>
      </c>
      <c r="D84" s="4">
        <f t="shared" si="5"/>
        <v>0</v>
      </c>
      <c r="E84" s="5">
        <f>SUMIFS(C$2:C84, A$2:A84, "&gt;="&amp;D84-179, A$2:A84, "&lt;="&amp;D84)</f>
        <v>0</v>
      </c>
      <c r="F84" s="6">
        <f t="shared" si="6"/>
        <v>90</v>
      </c>
      <c r="G84" s="6" t="str">
        <f t="shared" si="7"/>
        <v>ok</v>
      </c>
      <c r="H84" s="6"/>
    </row>
    <row r="85" spans="1:8" x14ac:dyDescent="0.25">
      <c r="A85" s="3"/>
      <c r="B85" s="3"/>
      <c r="C85" s="4">
        <f t="shared" si="4"/>
        <v>1</v>
      </c>
      <c r="D85" s="4">
        <f t="shared" si="5"/>
        <v>0</v>
      </c>
      <c r="E85" s="5">
        <f>SUMIFS(C$2:C85, A$2:A85, "&gt;="&amp;D85-179, A$2:A85, "&lt;="&amp;D85)</f>
        <v>0</v>
      </c>
      <c r="F85" s="6">
        <f t="shared" si="6"/>
        <v>90</v>
      </c>
      <c r="G85" s="6" t="str">
        <f t="shared" si="7"/>
        <v>ok</v>
      </c>
      <c r="H85" s="6"/>
    </row>
    <row r="86" spans="1:8" x14ac:dyDescent="0.25">
      <c r="A86" s="3"/>
      <c r="B86" s="3"/>
      <c r="C86" s="4">
        <f t="shared" si="4"/>
        <v>1</v>
      </c>
      <c r="D86" s="4">
        <f t="shared" si="5"/>
        <v>0</v>
      </c>
      <c r="E86" s="5">
        <f>SUMIFS(C$2:C86, A$2:A86, "&gt;="&amp;D86-179, A$2:A86, "&lt;="&amp;D86)</f>
        <v>0</v>
      </c>
      <c r="F86" s="6">
        <f t="shared" si="6"/>
        <v>90</v>
      </c>
      <c r="G86" s="6" t="str">
        <f t="shared" si="7"/>
        <v>ok</v>
      </c>
      <c r="H86" s="6"/>
    </row>
    <row r="87" spans="1:8" x14ac:dyDescent="0.25">
      <c r="A87" s="3"/>
      <c r="B87" s="3"/>
      <c r="C87" s="4">
        <f t="shared" si="4"/>
        <v>1</v>
      </c>
      <c r="D87" s="4">
        <f t="shared" si="5"/>
        <v>0</v>
      </c>
      <c r="E87" s="5">
        <f>SUMIFS(C$2:C87, A$2:A87, "&gt;="&amp;D87-179, A$2:A87, "&lt;="&amp;D87)</f>
        <v>0</v>
      </c>
      <c r="F87" s="6">
        <f t="shared" si="6"/>
        <v>90</v>
      </c>
      <c r="G87" s="6" t="str">
        <f t="shared" si="7"/>
        <v>ok</v>
      </c>
      <c r="H87" s="6"/>
    </row>
    <row r="88" spans="1:8" x14ac:dyDescent="0.25">
      <c r="A88" s="3"/>
      <c r="B88" s="3"/>
      <c r="C88" s="4">
        <f t="shared" si="4"/>
        <v>1</v>
      </c>
      <c r="D88" s="4">
        <f t="shared" si="5"/>
        <v>0</v>
      </c>
      <c r="E88" s="5">
        <f>SUMIFS(C$2:C88, A$2:A88, "&gt;="&amp;D88-179, A$2:A88, "&lt;="&amp;D88)</f>
        <v>0</v>
      </c>
      <c r="F88" s="6">
        <f t="shared" si="6"/>
        <v>90</v>
      </c>
      <c r="G88" s="6" t="str">
        <f t="shared" si="7"/>
        <v>ok</v>
      </c>
      <c r="H88" s="6"/>
    </row>
    <row r="89" spans="1:8" x14ac:dyDescent="0.25">
      <c r="A89" s="3"/>
      <c r="B89" s="3"/>
      <c r="C89" s="4">
        <f t="shared" si="4"/>
        <v>1</v>
      </c>
      <c r="D89" s="4">
        <f t="shared" si="5"/>
        <v>0</v>
      </c>
      <c r="E89" s="5">
        <f>SUMIFS(C$2:C89, A$2:A89, "&gt;="&amp;D89-179, A$2:A89, "&lt;="&amp;D89)</f>
        <v>0</v>
      </c>
      <c r="F89" s="6">
        <f t="shared" si="6"/>
        <v>90</v>
      </c>
      <c r="G89" s="6" t="str">
        <f t="shared" si="7"/>
        <v>ok</v>
      </c>
      <c r="H89" s="6"/>
    </row>
    <row r="90" spans="1:8" x14ac:dyDescent="0.25">
      <c r="A90" s="3"/>
      <c r="B90" s="3"/>
      <c r="C90" s="4">
        <f t="shared" si="4"/>
        <v>1</v>
      </c>
      <c r="D90" s="4">
        <f t="shared" si="5"/>
        <v>0</v>
      </c>
      <c r="E90" s="5">
        <f>SUMIFS(C$2:C90, A$2:A90, "&gt;="&amp;D90-179, A$2:A90, "&lt;="&amp;D90)</f>
        <v>0</v>
      </c>
      <c r="F90" s="6">
        <f t="shared" si="6"/>
        <v>90</v>
      </c>
      <c r="G90" s="6" t="str">
        <f t="shared" si="7"/>
        <v>ok</v>
      </c>
      <c r="H90" s="6"/>
    </row>
    <row r="91" spans="1:8" x14ac:dyDescent="0.25">
      <c r="A91" s="3"/>
      <c r="B91" s="3"/>
      <c r="C91" s="4">
        <f t="shared" si="4"/>
        <v>1</v>
      </c>
      <c r="D91" s="4">
        <f t="shared" si="5"/>
        <v>0</v>
      </c>
      <c r="E91" s="5">
        <f>SUMIFS(C$2:C91, A$2:A91, "&gt;="&amp;D91-179, A$2:A91, "&lt;="&amp;D91)</f>
        <v>0</v>
      </c>
      <c r="F91" s="6">
        <f t="shared" si="6"/>
        <v>90</v>
      </c>
      <c r="G91" s="6" t="str">
        <f t="shared" si="7"/>
        <v>ok</v>
      </c>
      <c r="H91" s="6"/>
    </row>
    <row r="92" spans="1:8" x14ac:dyDescent="0.25">
      <c r="A92" s="3"/>
      <c r="B92" s="3"/>
      <c r="C92" s="4">
        <f t="shared" si="4"/>
        <v>1</v>
      </c>
      <c r="D92" s="4">
        <f t="shared" si="5"/>
        <v>0</v>
      </c>
      <c r="E92" s="5">
        <f>SUMIFS(C$2:C92, A$2:A92, "&gt;="&amp;D92-179, A$2:A92, "&lt;="&amp;D92)</f>
        <v>0</v>
      </c>
      <c r="F92" s="6">
        <f t="shared" si="6"/>
        <v>90</v>
      </c>
      <c r="G92" s="6" t="str">
        <f t="shared" si="7"/>
        <v>ok</v>
      </c>
      <c r="H92" s="6"/>
    </row>
    <row r="93" spans="1:8" x14ac:dyDescent="0.25">
      <c r="A93" s="3"/>
      <c r="B93" s="3"/>
      <c r="C93" s="4">
        <f t="shared" si="4"/>
        <v>1</v>
      </c>
      <c r="D93" s="4">
        <f t="shared" si="5"/>
        <v>0</v>
      </c>
      <c r="E93" s="5">
        <f>SUMIFS(C$2:C93, A$2:A93, "&gt;="&amp;D93-179, A$2:A93, "&lt;="&amp;D93)</f>
        <v>0</v>
      </c>
      <c r="F93" s="6">
        <f t="shared" si="6"/>
        <v>90</v>
      </c>
      <c r="G93" s="6" t="str">
        <f t="shared" si="7"/>
        <v>ok</v>
      </c>
      <c r="H93" s="6"/>
    </row>
    <row r="94" spans="1:8" x14ac:dyDescent="0.25">
      <c r="A94" s="3"/>
      <c r="B94" s="3"/>
      <c r="C94" s="4">
        <f t="shared" si="4"/>
        <v>1</v>
      </c>
      <c r="D94" s="4">
        <f t="shared" si="5"/>
        <v>0</v>
      </c>
      <c r="E94" s="5">
        <f>SUMIFS(C$2:C94, A$2:A94, "&gt;="&amp;D94-179, A$2:A94, "&lt;="&amp;D94)</f>
        <v>0</v>
      </c>
      <c r="F94" s="6">
        <f t="shared" si="6"/>
        <v>90</v>
      </c>
      <c r="G94" s="6" t="str">
        <f t="shared" si="7"/>
        <v>ok</v>
      </c>
      <c r="H94" s="6"/>
    </row>
    <row r="95" spans="1:8" x14ac:dyDescent="0.25">
      <c r="A95" s="3"/>
      <c r="B95" s="3"/>
      <c r="C95" s="4">
        <f t="shared" si="4"/>
        <v>1</v>
      </c>
      <c r="D95" s="4">
        <f t="shared" si="5"/>
        <v>0</v>
      </c>
      <c r="E95" s="5">
        <f>SUMIFS(C$2:C95, A$2:A95, "&gt;="&amp;D95-179, A$2:A95, "&lt;="&amp;D95)</f>
        <v>0</v>
      </c>
      <c r="F95" s="6">
        <f t="shared" si="6"/>
        <v>90</v>
      </c>
      <c r="G95" s="6" t="str">
        <f t="shared" si="7"/>
        <v>ok</v>
      </c>
      <c r="H95" s="6"/>
    </row>
    <row r="96" spans="1:8" x14ac:dyDescent="0.25">
      <c r="A96" s="3"/>
      <c r="B96" s="3"/>
      <c r="C96" s="4">
        <f t="shared" si="4"/>
        <v>1</v>
      </c>
      <c r="D96" s="4">
        <f t="shared" si="5"/>
        <v>0</v>
      </c>
      <c r="E96" s="5">
        <f>SUMIFS(C$2:C96, A$2:A96, "&gt;="&amp;D96-179, A$2:A96, "&lt;="&amp;D96)</f>
        <v>0</v>
      </c>
      <c r="F96" s="6">
        <f t="shared" si="6"/>
        <v>90</v>
      </c>
      <c r="G96" s="6" t="str">
        <f t="shared" si="7"/>
        <v>ok</v>
      </c>
      <c r="H96" s="6"/>
    </row>
    <row r="97" spans="1:8" x14ac:dyDescent="0.25">
      <c r="A97" s="3"/>
      <c r="B97" s="3"/>
      <c r="C97" s="4">
        <f t="shared" si="4"/>
        <v>1</v>
      </c>
      <c r="D97" s="4">
        <f t="shared" si="5"/>
        <v>0</v>
      </c>
      <c r="E97" s="5">
        <f>SUMIFS(C$2:C97, A$2:A97, "&gt;="&amp;D97-179, A$2:A97, "&lt;="&amp;D97)</f>
        <v>0</v>
      </c>
      <c r="F97" s="6">
        <f t="shared" si="6"/>
        <v>90</v>
      </c>
      <c r="G97" s="6" t="str">
        <f t="shared" si="7"/>
        <v>ok</v>
      </c>
      <c r="H97" s="6"/>
    </row>
    <row r="98" spans="1:8" x14ac:dyDescent="0.25">
      <c r="A98" s="3"/>
      <c r="B98" s="3"/>
      <c r="C98" s="4">
        <f t="shared" si="4"/>
        <v>1</v>
      </c>
      <c r="D98" s="4">
        <f t="shared" si="5"/>
        <v>0</v>
      </c>
      <c r="E98" s="5">
        <f>SUMIFS(C$2:C98, A$2:A98, "&gt;="&amp;D98-179, A$2:A98, "&lt;="&amp;D98)</f>
        <v>0</v>
      </c>
      <c r="F98" s="6">
        <f t="shared" si="6"/>
        <v>90</v>
      </c>
      <c r="G98" s="6" t="str">
        <f t="shared" si="7"/>
        <v>ok</v>
      </c>
      <c r="H98" s="6"/>
    </row>
    <row r="99" spans="1:8" x14ac:dyDescent="0.25">
      <c r="A99" s="3"/>
      <c r="B99" s="3"/>
      <c r="C99" s="4">
        <f t="shared" si="4"/>
        <v>1</v>
      </c>
      <c r="D99" s="4">
        <f t="shared" si="5"/>
        <v>0</v>
      </c>
      <c r="E99" s="5">
        <f>SUMIFS(C$2:C99, A$2:A99, "&gt;="&amp;D99-179, A$2:A99, "&lt;="&amp;D99)</f>
        <v>0</v>
      </c>
      <c r="F99" s="6">
        <f t="shared" si="6"/>
        <v>90</v>
      </c>
      <c r="G99" s="6" t="str">
        <f t="shared" si="7"/>
        <v>ok</v>
      </c>
      <c r="H99" s="6"/>
    </row>
    <row r="100" spans="1:8" x14ac:dyDescent="0.25">
      <c r="A100" s="3"/>
      <c r="B100" s="3"/>
      <c r="C100" s="4">
        <f t="shared" si="4"/>
        <v>1</v>
      </c>
      <c r="D100" s="4">
        <f t="shared" si="5"/>
        <v>0</v>
      </c>
      <c r="E100" s="5">
        <f>SUMIFS(C$2:C100, A$2:A100, "&gt;="&amp;D100-179, A$2:A100, "&lt;="&amp;D100)</f>
        <v>0</v>
      </c>
      <c r="F100" s="6">
        <f t="shared" si="6"/>
        <v>90</v>
      </c>
      <c r="G100" s="6" t="str">
        <f t="shared" si="7"/>
        <v>ok</v>
      </c>
      <c r="H100" s="6"/>
    </row>
    <row r="101" spans="1:8" x14ac:dyDescent="0.25">
      <c r="A101" s="3"/>
      <c r="B101" s="3"/>
      <c r="C101" s="4">
        <f t="shared" si="4"/>
        <v>1</v>
      </c>
      <c r="D101" s="4">
        <f t="shared" si="5"/>
        <v>0</v>
      </c>
      <c r="E101" s="5">
        <f>SUMIFS(C$2:C101, A$2:A101, "&gt;="&amp;D101-179, A$2:A101, "&lt;="&amp;D101)</f>
        <v>0</v>
      </c>
      <c r="F101" s="6">
        <f t="shared" si="6"/>
        <v>90</v>
      </c>
      <c r="G101" s="6" t="str">
        <f t="shared" si="7"/>
        <v>ok</v>
      </c>
      <c r="H101" s="6"/>
    </row>
    <row r="102" spans="1:8" x14ac:dyDescent="0.25">
      <c r="A102" s="3"/>
      <c r="B102" s="3"/>
      <c r="C102" s="4">
        <f t="shared" si="4"/>
        <v>1</v>
      </c>
      <c r="D102" s="4">
        <f t="shared" si="5"/>
        <v>0</v>
      </c>
      <c r="E102" s="5">
        <f>SUMIFS(C$2:C102, A$2:A102, "&gt;="&amp;D102-179, A$2:A102, "&lt;="&amp;D102)</f>
        <v>0</v>
      </c>
      <c r="F102" s="6">
        <f t="shared" si="6"/>
        <v>90</v>
      </c>
      <c r="G102" s="6" t="str">
        <f t="shared" si="7"/>
        <v>ok</v>
      </c>
      <c r="H102" s="6"/>
    </row>
    <row r="103" spans="1:8" x14ac:dyDescent="0.25">
      <c r="A103" s="3"/>
      <c r="B103" s="3"/>
      <c r="C103" s="4">
        <f t="shared" si="4"/>
        <v>1</v>
      </c>
      <c r="D103" s="4">
        <f t="shared" si="5"/>
        <v>0</v>
      </c>
      <c r="E103" s="5">
        <f>SUMIFS(C$2:C103, A$2:A103, "&gt;="&amp;D103-179, A$2:A103, "&lt;="&amp;D103)</f>
        <v>0</v>
      </c>
      <c r="F103" s="6">
        <f t="shared" si="6"/>
        <v>90</v>
      </c>
      <c r="G103" s="6" t="str">
        <f t="shared" si="7"/>
        <v>ok</v>
      </c>
      <c r="H103" s="6"/>
    </row>
    <row r="104" spans="1:8" x14ac:dyDescent="0.25">
      <c r="A104" s="3"/>
      <c r="B104" s="3"/>
      <c r="C104" s="4">
        <f t="shared" si="4"/>
        <v>1</v>
      </c>
      <c r="D104" s="4">
        <f t="shared" si="5"/>
        <v>0</v>
      </c>
      <c r="E104" s="5">
        <f>SUMIFS(C$2:C104, A$2:A104, "&gt;="&amp;D104-179, A$2:A104, "&lt;="&amp;D104)</f>
        <v>0</v>
      </c>
      <c r="F104" s="6">
        <f t="shared" si="6"/>
        <v>90</v>
      </c>
      <c r="G104" s="6" t="str">
        <f t="shared" si="7"/>
        <v>ok</v>
      </c>
      <c r="H104" s="6"/>
    </row>
    <row r="105" spans="1:8" x14ac:dyDescent="0.25">
      <c r="A105" s="3"/>
      <c r="B105" s="3"/>
      <c r="C105" s="4">
        <f t="shared" si="4"/>
        <v>1</v>
      </c>
      <c r="D105" s="4">
        <f t="shared" si="5"/>
        <v>0</v>
      </c>
      <c r="E105" s="5">
        <f>SUMIFS(C$2:C105, A$2:A105, "&gt;="&amp;D105-179, A$2:A105, "&lt;="&amp;D105)</f>
        <v>0</v>
      </c>
      <c r="F105" s="6">
        <f t="shared" si="6"/>
        <v>90</v>
      </c>
      <c r="G105" s="6" t="str">
        <f t="shared" si="7"/>
        <v>ok</v>
      </c>
      <c r="H105" s="6"/>
    </row>
    <row r="106" spans="1:8" x14ac:dyDescent="0.25">
      <c r="A106" s="3"/>
      <c r="B106" s="3"/>
      <c r="C106" s="4">
        <f t="shared" si="4"/>
        <v>1</v>
      </c>
      <c r="D106" s="4">
        <f t="shared" si="5"/>
        <v>0</v>
      </c>
      <c r="E106" s="5">
        <f>SUMIFS(C$2:C106, A$2:A106, "&gt;="&amp;D106-179, A$2:A106, "&lt;="&amp;D106)</f>
        <v>0</v>
      </c>
      <c r="F106" s="6">
        <f t="shared" si="6"/>
        <v>90</v>
      </c>
      <c r="G106" s="6" t="str">
        <f t="shared" si="7"/>
        <v>ok</v>
      </c>
      <c r="H106" s="6"/>
    </row>
    <row r="107" spans="1:8" x14ac:dyDescent="0.25">
      <c r="A107" s="3"/>
      <c r="B107" s="3"/>
      <c r="C107" s="4">
        <f t="shared" si="4"/>
        <v>1</v>
      </c>
      <c r="D107" s="4">
        <f t="shared" si="5"/>
        <v>0</v>
      </c>
      <c r="E107" s="5">
        <f>SUMIFS(C$2:C107, A$2:A107, "&gt;="&amp;D107-179, A$2:A107, "&lt;="&amp;D107)</f>
        <v>0</v>
      </c>
      <c r="F107" s="6">
        <f t="shared" si="6"/>
        <v>90</v>
      </c>
      <c r="G107" s="6" t="str">
        <f t="shared" si="7"/>
        <v>ok</v>
      </c>
      <c r="H107" s="6"/>
    </row>
    <row r="108" spans="1:8" x14ac:dyDescent="0.25">
      <c r="A108" s="3"/>
      <c r="B108" s="3"/>
      <c r="C108" s="4">
        <f t="shared" si="4"/>
        <v>1</v>
      </c>
      <c r="D108" s="4">
        <f t="shared" si="5"/>
        <v>0</v>
      </c>
      <c r="E108" s="5">
        <f>SUMIFS(C$2:C108, A$2:A108, "&gt;="&amp;D108-179, A$2:A108, "&lt;="&amp;D108)</f>
        <v>0</v>
      </c>
      <c r="F108" s="6">
        <f t="shared" si="6"/>
        <v>90</v>
      </c>
      <c r="G108" s="6" t="str">
        <f t="shared" si="7"/>
        <v>ok</v>
      </c>
      <c r="H108" s="6"/>
    </row>
    <row r="109" spans="1:8" x14ac:dyDescent="0.25">
      <c r="A109" s="3"/>
      <c r="B109" s="3"/>
      <c r="C109" s="4">
        <f t="shared" si="4"/>
        <v>1</v>
      </c>
      <c r="D109" s="4">
        <f t="shared" si="5"/>
        <v>0</v>
      </c>
      <c r="E109" s="5">
        <f>SUMIFS(C$2:C109, A$2:A109, "&gt;="&amp;D109-179, A$2:A109, "&lt;="&amp;D109)</f>
        <v>0</v>
      </c>
      <c r="F109" s="6">
        <f t="shared" si="6"/>
        <v>90</v>
      </c>
      <c r="G109" s="6" t="str">
        <f t="shared" si="7"/>
        <v>ok</v>
      </c>
      <c r="H109" s="6"/>
    </row>
    <row r="110" spans="1:8" x14ac:dyDescent="0.25">
      <c r="A110" s="3"/>
      <c r="B110" s="3"/>
      <c r="C110" s="4">
        <f t="shared" si="4"/>
        <v>1</v>
      </c>
      <c r="D110" s="4">
        <f t="shared" si="5"/>
        <v>0</v>
      </c>
      <c r="E110" s="5">
        <f>SUMIFS(C$2:C110, A$2:A110, "&gt;="&amp;D110-179, A$2:A110, "&lt;="&amp;D110)</f>
        <v>0</v>
      </c>
      <c r="F110" s="6">
        <f t="shared" si="6"/>
        <v>90</v>
      </c>
      <c r="G110" s="6" t="str">
        <f t="shared" si="7"/>
        <v>ok</v>
      </c>
      <c r="H110" s="6"/>
    </row>
    <row r="111" spans="1:8" x14ac:dyDescent="0.25">
      <c r="A111" s="3"/>
      <c r="B111" s="3"/>
      <c r="C111" s="4">
        <f t="shared" si="4"/>
        <v>1</v>
      </c>
      <c r="D111" s="4">
        <f t="shared" si="5"/>
        <v>0</v>
      </c>
      <c r="E111" s="5">
        <f>SUMIFS(C$2:C111, A$2:A111, "&gt;="&amp;D111-179, A$2:A111, "&lt;="&amp;D111)</f>
        <v>0</v>
      </c>
      <c r="F111" s="6">
        <f t="shared" si="6"/>
        <v>90</v>
      </c>
      <c r="G111" s="6" t="str">
        <f t="shared" si="7"/>
        <v>ok</v>
      </c>
      <c r="H111" s="6"/>
    </row>
    <row r="112" spans="1:8" x14ac:dyDescent="0.25">
      <c r="A112" s="3"/>
      <c r="B112" s="3"/>
      <c r="C112" s="4">
        <f t="shared" si="4"/>
        <v>1</v>
      </c>
      <c r="D112" s="4">
        <f t="shared" si="5"/>
        <v>0</v>
      </c>
      <c r="E112" s="5">
        <f>SUMIFS(C$2:C112, A$2:A112, "&gt;="&amp;D112-179, A$2:A112, "&lt;="&amp;D112)</f>
        <v>0</v>
      </c>
      <c r="F112" s="6">
        <f t="shared" si="6"/>
        <v>90</v>
      </c>
      <c r="G112" s="6" t="str">
        <f t="shared" si="7"/>
        <v>ok</v>
      </c>
      <c r="H112" s="6"/>
    </row>
    <row r="113" spans="1:8" x14ac:dyDescent="0.25">
      <c r="A113" s="3"/>
      <c r="B113" s="3"/>
      <c r="C113" s="4">
        <f t="shared" si="4"/>
        <v>1</v>
      </c>
      <c r="D113" s="4">
        <f t="shared" si="5"/>
        <v>0</v>
      </c>
      <c r="E113" s="5">
        <f>SUMIFS(C$2:C113, A$2:A113, "&gt;="&amp;D113-179, A$2:A113, "&lt;="&amp;D113)</f>
        <v>0</v>
      </c>
      <c r="F113" s="6">
        <f t="shared" si="6"/>
        <v>90</v>
      </c>
      <c r="G113" s="6" t="str">
        <f t="shared" si="7"/>
        <v>ok</v>
      </c>
      <c r="H113" s="6"/>
    </row>
    <row r="114" spans="1:8" x14ac:dyDescent="0.25">
      <c r="A114" s="3"/>
      <c r="B114" s="3"/>
      <c r="C114" s="4">
        <f t="shared" si="4"/>
        <v>1</v>
      </c>
      <c r="D114" s="4">
        <f t="shared" si="5"/>
        <v>0</v>
      </c>
      <c r="E114" s="5">
        <f>SUMIFS(C$2:C114, A$2:A114, "&gt;="&amp;D114-179, A$2:A114, "&lt;="&amp;D114)</f>
        <v>0</v>
      </c>
      <c r="F114" s="6">
        <f t="shared" si="6"/>
        <v>90</v>
      </c>
      <c r="G114" s="6" t="str">
        <f t="shared" si="7"/>
        <v>ok</v>
      </c>
      <c r="H114" s="6"/>
    </row>
    <row r="115" spans="1:8" x14ac:dyDescent="0.25">
      <c r="A115" s="3"/>
      <c r="B115" s="3"/>
      <c r="C115" s="4">
        <f t="shared" si="4"/>
        <v>1</v>
      </c>
      <c r="D115" s="4">
        <f t="shared" si="5"/>
        <v>0</v>
      </c>
      <c r="E115" s="5">
        <f>SUMIFS(C$2:C115, A$2:A115, "&gt;="&amp;D115-179, A$2:A115, "&lt;="&amp;D115)</f>
        <v>0</v>
      </c>
      <c r="F115" s="6">
        <f t="shared" si="6"/>
        <v>90</v>
      </c>
      <c r="G115" s="6" t="str">
        <f t="shared" si="7"/>
        <v>ok</v>
      </c>
      <c r="H115" s="6"/>
    </row>
    <row r="116" spans="1:8" x14ac:dyDescent="0.25">
      <c r="A116" s="3"/>
      <c r="B116" s="3"/>
      <c r="C116" s="4">
        <f t="shared" si="4"/>
        <v>1</v>
      </c>
      <c r="D116" s="4">
        <f t="shared" si="5"/>
        <v>0</v>
      </c>
      <c r="E116" s="5">
        <f>SUMIFS(C$2:C116, A$2:A116, "&gt;="&amp;D116-179, A$2:A116, "&lt;="&amp;D116)</f>
        <v>0</v>
      </c>
      <c r="F116" s="6">
        <f t="shared" si="6"/>
        <v>90</v>
      </c>
      <c r="G116" s="6" t="str">
        <f t="shared" si="7"/>
        <v>ok</v>
      </c>
      <c r="H116" s="6"/>
    </row>
    <row r="117" spans="1:8" x14ac:dyDescent="0.25">
      <c r="A117" s="3"/>
      <c r="B117" s="3"/>
      <c r="C117" s="4">
        <f t="shared" si="4"/>
        <v>1</v>
      </c>
      <c r="D117" s="4">
        <f t="shared" si="5"/>
        <v>0</v>
      </c>
      <c r="E117" s="5">
        <f>SUMIFS(C$2:C117, A$2:A117, "&gt;="&amp;D117-179, A$2:A117, "&lt;="&amp;D117)</f>
        <v>0</v>
      </c>
      <c r="F117" s="6">
        <f t="shared" si="6"/>
        <v>90</v>
      </c>
      <c r="G117" s="6" t="str">
        <f t="shared" si="7"/>
        <v>ok</v>
      </c>
      <c r="H117" s="6"/>
    </row>
    <row r="118" spans="1:8" x14ac:dyDescent="0.25">
      <c r="A118" s="3"/>
      <c r="B118" s="3"/>
      <c r="C118" s="4">
        <f t="shared" si="4"/>
        <v>1</v>
      </c>
      <c r="D118" s="4">
        <f t="shared" si="5"/>
        <v>0</v>
      </c>
      <c r="E118" s="5">
        <f>SUMIFS(C$2:C118, A$2:A118, "&gt;="&amp;D118-179, A$2:A118, "&lt;="&amp;D118)</f>
        <v>0</v>
      </c>
      <c r="F118" s="6">
        <f t="shared" si="6"/>
        <v>90</v>
      </c>
      <c r="G118" s="6" t="str">
        <f t="shared" si="7"/>
        <v>ok</v>
      </c>
      <c r="H118" s="6"/>
    </row>
    <row r="119" spans="1:8" x14ac:dyDescent="0.25">
      <c r="A119" s="3"/>
      <c r="B119" s="3"/>
      <c r="C119" s="4">
        <f t="shared" si="4"/>
        <v>1</v>
      </c>
      <c r="D119" s="4">
        <f t="shared" si="5"/>
        <v>0</v>
      </c>
      <c r="E119" s="5">
        <f>SUMIFS(C$2:C119, A$2:A119, "&gt;="&amp;D119-179, A$2:A119, "&lt;="&amp;D119)</f>
        <v>0</v>
      </c>
      <c r="F119" s="6">
        <f t="shared" si="6"/>
        <v>90</v>
      </c>
      <c r="G119" s="6" t="str">
        <f t="shared" si="7"/>
        <v>ok</v>
      </c>
      <c r="H119" s="6"/>
    </row>
    <row r="120" spans="1:8" x14ac:dyDescent="0.25">
      <c r="A120" s="3"/>
      <c r="B120" s="3"/>
      <c r="C120" s="4">
        <f t="shared" si="4"/>
        <v>1</v>
      </c>
      <c r="D120" s="4">
        <f t="shared" si="5"/>
        <v>0</v>
      </c>
      <c r="E120" s="5">
        <f>SUMIFS(C$2:C120, A$2:A120, "&gt;="&amp;D120-179, A$2:A120, "&lt;="&amp;D120)</f>
        <v>0</v>
      </c>
      <c r="F120" s="6">
        <f t="shared" si="6"/>
        <v>90</v>
      </c>
      <c r="G120" s="6" t="str">
        <f t="shared" si="7"/>
        <v>ok</v>
      </c>
      <c r="H120" s="6"/>
    </row>
    <row r="121" spans="1:8" x14ac:dyDescent="0.25">
      <c r="A121" s="3"/>
      <c r="B121" s="3"/>
      <c r="C121" s="4">
        <f t="shared" si="4"/>
        <v>1</v>
      </c>
      <c r="D121" s="4">
        <f t="shared" si="5"/>
        <v>0</v>
      </c>
      <c r="E121" s="5">
        <f>SUMIFS(C$2:C121, A$2:A121, "&gt;="&amp;D121-179, A$2:A121, "&lt;="&amp;D121)</f>
        <v>0</v>
      </c>
      <c r="F121" s="6">
        <f t="shared" si="6"/>
        <v>90</v>
      </c>
      <c r="G121" s="6" t="str">
        <f t="shared" si="7"/>
        <v>ok</v>
      </c>
      <c r="H121" s="6"/>
    </row>
    <row r="122" spans="1:8" x14ac:dyDescent="0.25">
      <c r="A122" s="3"/>
      <c r="B122" s="3"/>
      <c r="C122" s="4">
        <f t="shared" si="4"/>
        <v>1</v>
      </c>
      <c r="D122" s="4">
        <f t="shared" si="5"/>
        <v>0</v>
      </c>
      <c r="E122" s="5">
        <f>SUMIFS(C$2:C122, A$2:A122, "&gt;="&amp;D122-179, A$2:A122, "&lt;="&amp;D122)</f>
        <v>0</v>
      </c>
      <c r="F122" s="6">
        <f t="shared" si="6"/>
        <v>90</v>
      </c>
      <c r="G122" s="6" t="str">
        <f t="shared" si="7"/>
        <v>ok</v>
      </c>
      <c r="H122" s="6"/>
    </row>
    <row r="123" spans="1:8" x14ac:dyDescent="0.25">
      <c r="A123" s="3"/>
      <c r="B123" s="3"/>
      <c r="C123" s="4">
        <f t="shared" si="4"/>
        <v>1</v>
      </c>
      <c r="D123" s="4">
        <f t="shared" si="5"/>
        <v>0</v>
      </c>
      <c r="E123" s="5">
        <f>SUMIFS(C$2:C123, A$2:A123, "&gt;="&amp;D123-179, A$2:A123, "&lt;="&amp;D123)</f>
        <v>0</v>
      </c>
      <c r="F123" s="6">
        <f t="shared" si="6"/>
        <v>90</v>
      </c>
      <c r="G123" s="6" t="str">
        <f t="shared" si="7"/>
        <v>ok</v>
      </c>
      <c r="H123" s="6"/>
    </row>
    <row r="124" spans="1:8" x14ac:dyDescent="0.25">
      <c r="A124" s="3"/>
      <c r="B124" s="3"/>
      <c r="C124" s="4">
        <f t="shared" si="4"/>
        <v>1</v>
      </c>
      <c r="D124" s="4">
        <f t="shared" si="5"/>
        <v>0</v>
      </c>
      <c r="E124" s="5">
        <f>SUMIFS(C$2:C124, A$2:A124, "&gt;="&amp;D124-179, A$2:A124, "&lt;="&amp;D124)</f>
        <v>0</v>
      </c>
      <c r="F124" s="6">
        <f t="shared" si="6"/>
        <v>90</v>
      </c>
      <c r="G124" s="6" t="str">
        <f t="shared" si="7"/>
        <v>ok</v>
      </c>
      <c r="H124" s="6"/>
    </row>
    <row r="125" spans="1:8" x14ac:dyDescent="0.25">
      <c r="A125" s="3"/>
      <c r="B125" s="3"/>
      <c r="C125" s="4">
        <f t="shared" si="4"/>
        <v>1</v>
      </c>
      <c r="D125" s="4">
        <f t="shared" si="5"/>
        <v>0</v>
      </c>
      <c r="E125" s="5">
        <f>SUMIFS(C$2:C125, A$2:A125, "&gt;="&amp;D125-179, A$2:A125, "&lt;="&amp;D125)</f>
        <v>0</v>
      </c>
      <c r="F125" s="6">
        <f t="shared" si="6"/>
        <v>90</v>
      </c>
      <c r="G125" s="6" t="str">
        <f t="shared" si="7"/>
        <v>ok</v>
      </c>
      <c r="H125" s="6"/>
    </row>
    <row r="126" spans="1:8" x14ac:dyDescent="0.25">
      <c r="A126" s="3"/>
      <c r="B126" s="3"/>
      <c r="C126" s="4">
        <f t="shared" si="4"/>
        <v>1</v>
      </c>
      <c r="D126" s="4">
        <f t="shared" si="5"/>
        <v>0</v>
      </c>
      <c r="E126" s="5">
        <f>SUMIFS(C$2:C126, A$2:A126, "&gt;="&amp;D126-179, A$2:A126, "&lt;="&amp;D126)</f>
        <v>0</v>
      </c>
      <c r="F126" s="6">
        <f t="shared" si="6"/>
        <v>90</v>
      </c>
      <c r="G126" s="6" t="str">
        <f t="shared" si="7"/>
        <v>ok</v>
      </c>
      <c r="H126" s="6"/>
    </row>
    <row r="127" spans="1:8" x14ac:dyDescent="0.25">
      <c r="A127" s="3"/>
      <c r="B127" s="3"/>
      <c r="C127" s="4">
        <f t="shared" si="4"/>
        <v>1</v>
      </c>
      <c r="D127" s="4">
        <f t="shared" si="5"/>
        <v>0</v>
      </c>
      <c r="E127" s="5">
        <f>SUMIFS(C$2:C127, A$2:A127, "&gt;="&amp;D127-179, A$2:A127, "&lt;="&amp;D127)</f>
        <v>0</v>
      </c>
      <c r="F127" s="6">
        <f t="shared" si="6"/>
        <v>90</v>
      </c>
      <c r="G127" s="6" t="str">
        <f t="shared" si="7"/>
        <v>ok</v>
      </c>
      <c r="H127" s="6"/>
    </row>
    <row r="128" spans="1:8" x14ac:dyDescent="0.25">
      <c r="A128" s="3"/>
      <c r="B128" s="3"/>
      <c r="C128" s="4">
        <f t="shared" si="4"/>
        <v>1</v>
      </c>
      <c r="D128" s="4">
        <f t="shared" si="5"/>
        <v>0</v>
      </c>
      <c r="E128" s="5">
        <f>SUMIFS(C$2:C128, A$2:A128, "&gt;="&amp;D128-179, A$2:A128, "&lt;="&amp;D128)</f>
        <v>0</v>
      </c>
      <c r="F128" s="6">
        <f t="shared" si="6"/>
        <v>90</v>
      </c>
      <c r="G128" s="6" t="str">
        <f t="shared" si="7"/>
        <v>ok</v>
      </c>
      <c r="H128" s="6"/>
    </row>
    <row r="129" spans="1:8" x14ac:dyDescent="0.25">
      <c r="A129" s="3"/>
      <c r="B129" s="3"/>
      <c r="C129" s="4">
        <f t="shared" si="4"/>
        <v>1</v>
      </c>
      <c r="D129" s="4">
        <f t="shared" si="5"/>
        <v>0</v>
      </c>
      <c r="E129" s="5">
        <f>SUMIFS(C$2:C129, A$2:A129, "&gt;="&amp;D129-179, A$2:A129, "&lt;="&amp;D129)</f>
        <v>0</v>
      </c>
      <c r="F129" s="6">
        <f t="shared" si="6"/>
        <v>90</v>
      </c>
      <c r="G129" s="6" t="str">
        <f t="shared" si="7"/>
        <v>ok</v>
      </c>
      <c r="H129" s="6"/>
    </row>
    <row r="130" spans="1:8" x14ac:dyDescent="0.25">
      <c r="A130" s="3"/>
      <c r="B130" s="3"/>
      <c r="C130" s="4">
        <f t="shared" si="4"/>
        <v>1</v>
      </c>
      <c r="D130" s="4">
        <f t="shared" si="5"/>
        <v>0</v>
      </c>
      <c r="E130" s="5">
        <f>SUMIFS(C$2:C130, A$2:A130, "&gt;="&amp;D130-179, A$2:A130, "&lt;="&amp;D130)</f>
        <v>0</v>
      </c>
      <c r="F130" s="6">
        <f t="shared" si="6"/>
        <v>90</v>
      </c>
      <c r="G130" s="6" t="str">
        <f t="shared" si="7"/>
        <v>ok</v>
      </c>
      <c r="H130" s="6"/>
    </row>
    <row r="131" spans="1:8" x14ac:dyDescent="0.25">
      <c r="A131" s="3"/>
      <c r="B131" s="3"/>
      <c r="C131" s="4">
        <f t="shared" ref="C131:C151" si="8">MAX(B131-A131+1,0)</f>
        <v>1</v>
      </c>
      <c r="D131" s="4">
        <f t="shared" ref="D131:D151" si="9">A131</f>
        <v>0</v>
      </c>
      <c r="E131" s="5">
        <f>SUMIFS(C$2:C131, A$2:A131, "&gt;="&amp;D131-179, A$2:A131, "&lt;="&amp;D131)</f>
        <v>0</v>
      </c>
      <c r="F131" s="6">
        <f t="shared" ref="F131:F151" si="10">90-E131</f>
        <v>90</v>
      </c>
      <c r="G131" s="6" t="str">
        <f t="shared" ref="G131:G151" si="11">IF(E131&gt;90,"PREKORAČENO",IF(E131&gt;80,"OPREZ","ok"))</f>
        <v>ok</v>
      </c>
      <c r="H131" s="6"/>
    </row>
    <row r="132" spans="1:8" x14ac:dyDescent="0.25">
      <c r="A132" s="3"/>
      <c r="B132" s="3"/>
      <c r="C132" s="4">
        <f t="shared" si="8"/>
        <v>1</v>
      </c>
      <c r="D132" s="4">
        <f t="shared" si="9"/>
        <v>0</v>
      </c>
      <c r="E132" s="5">
        <f>SUMIFS(C$2:C132, A$2:A132, "&gt;="&amp;D132-179, A$2:A132, "&lt;="&amp;D132)</f>
        <v>0</v>
      </c>
      <c r="F132" s="6">
        <f t="shared" si="10"/>
        <v>90</v>
      </c>
      <c r="G132" s="6" t="str">
        <f t="shared" si="11"/>
        <v>ok</v>
      </c>
      <c r="H132" s="6"/>
    </row>
    <row r="133" spans="1:8" x14ac:dyDescent="0.25">
      <c r="A133" s="3"/>
      <c r="B133" s="3"/>
      <c r="C133" s="4">
        <f t="shared" si="8"/>
        <v>1</v>
      </c>
      <c r="D133" s="4">
        <f t="shared" si="9"/>
        <v>0</v>
      </c>
      <c r="E133" s="5">
        <f>SUMIFS(C$2:C133, A$2:A133, "&gt;="&amp;D133-179, A$2:A133, "&lt;="&amp;D133)</f>
        <v>0</v>
      </c>
      <c r="F133" s="6">
        <f t="shared" si="10"/>
        <v>90</v>
      </c>
      <c r="G133" s="6" t="str">
        <f t="shared" si="11"/>
        <v>ok</v>
      </c>
      <c r="H133" s="6"/>
    </row>
    <row r="134" spans="1:8" x14ac:dyDescent="0.25">
      <c r="A134" s="3"/>
      <c r="B134" s="3"/>
      <c r="C134" s="4">
        <f t="shared" si="8"/>
        <v>1</v>
      </c>
      <c r="D134" s="4">
        <f t="shared" si="9"/>
        <v>0</v>
      </c>
      <c r="E134" s="5">
        <f>SUMIFS(C$2:C134, A$2:A134, "&gt;="&amp;D134-179, A$2:A134, "&lt;="&amp;D134)</f>
        <v>0</v>
      </c>
      <c r="F134" s="6">
        <f t="shared" si="10"/>
        <v>90</v>
      </c>
      <c r="G134" s="6" t="str">
        <f t="shared" si="11"/>
        <v>ok</v>
      </c>
      <c r="H134" s="6"/>
    </row>
    <row r="135" spans="1:8" x14ac:dyDescent="0.25">
      <c r="A135" s="3"/>
      <c r="B135" s="3"/>
      <c r="C135" s="4">
        <f t="shared" si="8"/>
        <v>1</v>
      </c>
      <c r="D135" s="4">
        <f t="shared" si="9"/>
        <v>0</v>
      </c>
      <c r="E135" s="5">
        <f>SUMIFS(C$2:C135, A$2:A135, "&gt;="&amp;D135-179, A$2:A135, "&lt;="&amp;D135)</f>
        <v>0</v>
      </c>
      <c r="F135" s="6">
        <f t="shared" si="10"/>
        <v>90</v>
      </c>
      <c r="G135" s="6" t="str">
        <f t="shared" si="11"/>
        <v>ok</v>
      </c>
      <c r="H135" s="6"/>
    </row>
    <row r="136" spans="1:8" x14ac:dyDescent="0.25">
      <c r="A136" s="3"/>
      <c r="B136" s="3"/>
      <c r="C136" s="4">
        <f t="shared" si="8"/>
        <v>1</v>
      </c>
      <c r="D136" s="4">
        <f t="shared" si="9"/>
        <v>0</v>
      </c>
      <c r="E136" s="5">
        <f>SUMIFS(C$2:C136, A$2:A136, "&gt;="&amp;D136-179, A$2:A136, "&lt;="&amp;D136)</f>
        <v>0</v>
      </c>
      <c r="F136" s="6">
        <f t="shared" si="10"/>
        <v>90</v>
      </c>
      <c r="G136" s="6" t="str">
        <f t="shared" si="11"/>
        <v>ok</v>
      </c>
      <c r="H136" s="6"/>
    </row>
    <row r="137" spans="1:8" x14ac:dyDescent="0.25">
      <c r="A137" s="3"/>
      <c r="B137" s="3"/>
      <c r="C137" s="4">
        <f t="shared" si="8"/>
        <v>1</v>
      </c>
      <c r="D137" s="4">
        <f t="shared" si="9"/>
        <v>0</v>
      </c>
      <c r="E137" s="5">
        <f>SUMIFS(C$2:C137, A$2:A137, "&gt;="&amp;D137-179, A$2:A137, "&lt;="&amp;D137)</f>
        <v>0</v>
      </c>
      <c r="F137" s="6">
        <f t="shared" si="10"/>
        <v>90</v>
      </c>
      <c r="G137" s="6" t="str">
        <f t="shared" si="11"/>
        <v>ok</v>
      </c>
      <c r="H137" s="6"/>
    </row>
    <row r="138" spans="1:8" x14ac:dyDescent="0.25">
      <c r="A138" s="3"/>
      <c r="B138" s="3"/>
      <c r="C138" s="4">
        <f t="shared" si="8"/>
        <v>1</v>
      </c>
      <c r="D138" s="4">
        <f t="shared" si="9"/>
        <v>0</v>
      </c>
      <c r="E138" s="5">
        <f>SUMIFS(C$2:C138, A$2:A138, "&gt;="&amp;D138-179, A$2:A138, "&lt;="&amp;D138)</f>
        <v>0</v>
      </c>
      <c r="F138" s="6">
        <f t="shared" si="10"/>
        <v>90</v>
      </c>
      <c r="G138" s="6" t="str">
        <f t="shared" si="11"/>
        <v>ok</v>
      </c>
      <c r="H138" s="6"/>
    </row>
    <row r="139" spans="1:8" x14ac:dyDescent="0.25">
      <c r="A139" s="3"/>
      <c r="B139" s="3"/>
      <c r="C139" s="4">
        <f t="shared" si="8"/>
        <v>1</v>
      </c>
      <c r="D139" s="4">
        <f t="shared" si="9"/>
        <v>0</v>
      </c>
      <c r="E139" s="5">
        <f>SUMIFS(C$2:C139, A$2:A139, "&gt;="&amp;D139-179, A$2:A139, "&lt;="&amp;D139)</f>
        <v>0</v>
      </c>
      <c r="F139" s="6">
        <f t="shared" si="10"/>
        <v>90</v>
      </c>
      <c r="G139" s="6" t="str">
        <f t="shared" si="11"/>
        <v>ok</v>
      </c>
      <c r="H139" s="6"/>
    </row>
    <row r="140" spans="1:8" x14ac:dyDescent="0.25">
      <c r="A140" s="3"/>
      <c r="B140" s="3"/>
      <c r="C140" s="4">
        <f t="shared" si="8"/>
        <v>1</v>
      </c>
      <c r="D140" s="4">
        <f t="shared" si="9"/>
        <v>0</v>
      </c>
      <c r="E140" s="5">
        <f>SUMIFS(C$2:C140, A$2:A140, "&gt;="&amp;D140-179, A$2:A140, "&lt;="&amp;D140)</f>
        <v>0</v>
      </c>
      <c r="F140" s="6">
        <f t="shared" si="10"/>
        <v>90</v>
      </c>
      <c r="G140" s="6" t="str">
        <f t="shared" si="11"/>
        <v>ok</v>
      </c>
      <c r="H140" s="6"/>
    </row>
    <row r="141" spans="1:8" x14ac:dyDescent="0.25">
      <c r="A141" s="3"/>
      <c r="B141" s="3"/>
      <c r="C141" s="4">
        <f t="shared" si="8"/>
        <v>1</v>
      </c>
      <c r="D141" s="4">
        <f t="shared" si="9"/>
        <v>0</v>
      </c>
      <c r="E141" s="5">
        <f>SUMIFS(C$2:C141, A$2:A141, "&gt;="&amp;D141-179, A$2:A141, "&lt;="&amp;D141)</f>
        <v>0</v>
      </c>
      <c r="F141" s="6">
        <f t="shared" si="10"/>
        <v>90</v>
      </c>
      <c r="G141" s="6" t="str">
        <f t="shared" si="11"/>
        <v>ok</v>
      </c>
      <c r="H141" s="6"/>
    </row>
    <row r="142" spans="1:8" x14ac:dyDescent="0.25">
      <c r="A142" s="3"/>
      <c r="B142" s="3"/>
      <c r="C142" s="4">
        <f t="shared" si="8"/>
        <v>1</v>
      </c>
      <c r="D142" s="4">
        <f t="shared" si="9"/>
        <v>0</v>
      </c>
      <c r="E142" s="5">
        <f>SUMIFS(C$2:C142, A$2:A142, "&gt;="&amp;D142-179, A$2:A142, "&lt;="&amp;D142)</f>
        <v>0</v>
      </c>
      <c r="F142" s="6">
        <f t="shared" si="10"/>
        <v>90</v>
      </c>
      <c r="G142" s="6" t="str">
        <f t="shared" si="11"/>
        <v>ok</v>
      </c>
      <c r="H142" s="6"/>
    </row>
    <row r="143" spans="1:8" x14ac:dyDescent="0.25">
      <c r="A143" s="3"/>
      <c r="B143" s="3"/>
      <c r="C143" s="4">
        <f t="shared" si="8"/>
        <v>1</v>
      </c>
      <c r="D143" s="4">
        <f t="shared" si="9"/>
        <v>0</v>
      </c>
      <c r="E143" s="5">
        <f>SUMIFS(C$2:C143, A$2:A143, "&gt;="&amp;D143-179, A$2:A143, "&lt;="&amp;D143)</f>
        <v>0</v>
      </c>
      <c r="F143" s="6">
        <f t="shared" si="10"/>
        <v>90</v>
      </c>
      <c r="G143" s="6" t="str">
        <f t="shared" si="11"/>
        <v>ok</v>
      </c>
      <c r="H143" s="6"/>
    </row>
    <row r="144" spans="1:8" x14ac:dyDescent="0.25">
      <c r="A144" s="3"/>
      <c r="B144" s="3"/>
      <c r="C144" s="4">
        <f t="shared" si="8"/>
        <v>1</v>
      </c>
      <c r="D144" s="4">
        <f t="shared" si="9"/>
        <v>0</v>
      </c>
      <c r="E144" s="5">
        <f>SUMIFS(C$2:C144, A$2:A144, "&gt;="&amp;D144-179, A$2:A144, "&lt;="&amp;D144)</f>
        <v>0</v>
      </c>
      <c r="F144" s="6">
        <f t="shared" si="10"/>
        <v>90</v>
      </c>
      <c r="G144" s="6" t="str">
        <f t="shared" si="11"/>
        <v>ok</v>
      </c>
      <c r="H144" s="6"/>
    </row>
    <row r="145" spans="1:8" x14ac:dyDescent="0.25">
      <c r="A145" s="3"/>
      <c r="B145" s="3"/>
      <c r="C145" s="4">
        <f t="shared" si="8"/>
        <v>1</v>
      </c>
      <c r="D145" s="4">
        <f t="shared" si="9"/>
        <v>0</v>
      </c>
      <c r="E145" s="5">
        <f>SUMIFS(C$2:C145, A$2:A145, "&gt;="&amp;D145-179, A$2:A145, "&lt;="&amp;D145)</f>
        <v>0</v>
      </c>
      <c r="F145" s="6">
        <f t="shared" si="10"/>
        <v>90</v>
      </c>
      <c r="G145" s="6" t="str">
        <f t="shared" si="11"/>
        <v>ok</v>
      </c>
      <c r="H145" s="6"/>
    </row>
    <row r="146" spans="1:8" x14ac:dyDescent="0.25">
      <c r="A146" s="3"/>
      <c r="B146" s="3"/>
      <c r="C146" s="4">
        <f t="shared" si="8"/>
        <v>1</v>
      </c>
      <c r="D146" s="4">
        <f t="shared" si="9"/>
        <v>0</v>
      </c>
      <c r="E146" s="5">
        <f>SUMIFS(C$2:C146, A$2:A146, "&gt;="&amp;D146-179, A$2:A146, "&lt;="&amp;D146)</f>
        <v>0</v>
      </c>
      <c r="F146" s="6">
        <f t="shared" si="10"/>
        <v>90</v>
      </c>
      <c r="G146" s="6" t="str">
        <f t="shared" si="11"/>
        <v>ok</v>
      </c>
      <c r="H146" s="6"/>
    </row>
    <row r="147" spans="1:8" x14ac:dyDescent="0.25">
      <c r="A147" s="3"/>
      <c r="B147" s="3"/>
      <c r="C147" s="4">
        <f t="shared" si="8"/>
        <v>1</v>
      </c>
      <c r="D147" s="4">
        <f t="shared" si="9"/>
        <v>0</v>
      </c>
      <c r="E147" s="5">
        <f>SUMIFS(C$2:C147, A$2:A147, "&gt;="&amp;D147-179, A$2:A147, "&lt;="&amp;D147)</f>
        <v>0</v>
      </c>
      <c r="F147" s="6">
        <f t="shared" si="10"/>
        <v>90</v>
      </c>
      <c r="G147" s="6" t="str">
        <f t="shared" si="11"/>
        <v>ok</v>
      </c>
      <c r="H147" s="6"/>
    </row>
    <row r="148" spans="1:8" x14ac:dyDescent="0.25">
      <c r="A148" s="3"/>
      <c r="B148" s="3"/>
      <c r="C148" s="4">
        <f t="shared" si="8"/>
        <v>1</v>
      </c>
      <c r="D148" s="4">
        <f t="shared" si="9"/>
        <v>0</v>
      </c>
      <c r="E148" s="5">
        <f>SUMIFS(C$2:C148, A$2:A148, "&gt;="&amp;D148-179, A$2:A148, "&lt;="&amp;D148)</f>
        <v>0</v>
      </c>
      <c r="F148" s="6">
        <f t="shared" si="10"/>
        <v>90</v>
      </c>
      <c r="G148" s="6" t="str">
        <f t="shared" si="11"/>
        <v>ok</v>
      </c>
      <c r="H148" s="6"/>
    </row>
    <row r="149" spans="1:8" x14ac:dyDescent="0.25">
      <c r="A149" s="3"/>
      <c r="B149" s="3"/>
      <c r="C149" s="4">
        <f t="shared" si="8"/>
        <v>1</v>
      </c>
      <c r="D149" s="4">
        <f t="shared" si="9"/>
        <v>0</v>
      </c>
      <c r="E149" s="5">
        <f>SUMIFS(C$2:C149, A$2:A149, "&gt;="&amp;D149-179, A$2:A149, "&lt;="&amp;D149)</f>
        <v>0</v>
      </c>
      <c r="F149" s="6">
        <f t="shared" si="10"/>
        <v>90</v>
      </c>
      <c r="G149" s="6" t="str">
        <f t="shared" si="11"/>
        <v>ok</v>
      </c>
      <c r="H149" s="6"/>
    </row>
    <row r="150" spans="1:8" x14ac:dyDescent="0.25">
      <c r="A150" s="3"/>
      <c r="B150" s="3"/>
      <c r="C150" s="4">
        <f t="shared" si="8"/>
        <v>1</v>
      </c>
      <c r="D150" s="4">
        <f t="shared" si="9"/>
        <v>0</v>
      </c>
      <c r="E150" s="5">
        <f>SUMIFS(C$2:C150, A$2:A150, "&gt;="&amp;D150-179, A$2:A150, "&lt;="&amp;D150)</f>
        <v>0</v>
      </c>
      <c r="F150" s="6">
        <f t="shared" si="10"/>
        <v>90</v>
      </c>
      <c r="G150" s="6" t="str">
        <f t="shared" si="11"/>
        <v>ok</v>
      </c>
      <c r="H150" s="6"/>
    </row>
    <row r="151" spans="1:8" x14ac:dyDescent="0.25">
      <c r="A151" s="3"/>
      <c r="B151" s="3"/>
      <c r="C151" s="4">
        <f t="shared" si="8"/>
        <v>1</v>
      </c>
      <c r="D151" s="4">
        <f t="shared" si="9"/>
        <v>0</v>
      </c>
      <c r="E151" s="5">
        <f>SUMIFS(C$2:C151, A$2:A151, "&gt;="&amp;D151-179, A$2:A151, "&lt;="&amp;D151)</f>
        <v>0</v>
      </c>
      <c r="F151" s="6">
        <f t="shared" si="10"/>
        <v>90</v>
      </c>
      <c r="G151" s="6" t="str">
        <f t="shared" si="11"/>
        <v>ok</v>
      </c>
      <c r="H151" s="6"/>
    </row>
    <row r="152" spans="1:8" x14ac:dyDescent="0.25">
      <c r="A152" s="8"/>
      <c r="B152" s="8"/>
    </row>
    <row r="153" spans="1:8" x14ac:dyDescent="0.25">
      <c r="A153" s="8"/>
      <c r="B153" s="8"/>
    </row>
    <row r="154" spans="1:8" x14ac:dyDescent="0.25">
      <c r="A154" s="8"/>
      <c r="B154" s="8"/>
    </row>
    <row r="155" spans="1:8" x14ac:dyDescent="0.25">
      <c r="A155" s="8"/>
      <c r="B155" s="8"/>
    </row>
    <row r="156" spans="1:8" x14ac:dyDescent="0.25">
      <c r="A156" s="8"/>
      <c r="B156" s="8"/>
    </row>
    <row r="157" spans="1:8" x14ac:dyDescent="0.25">
      <c r="A157" s="8"/>
      <c r="B157" s="8"/>
    </row>
    <row r="158" spans="1:8" x14ac:dyDescent="0.25">
      <c r="A158" s="8"/>
      <c r="B158" s="8"/>
    </row>
    <row r="159" spans="1:8" x14ac:dyDescent="0.25">
      <c r="A159" s="8"/>
      <c r="B159" s="8"/>
    </row>
    <row r="160" spans="1:8" x14ac:dyDescent="0.25">
      <c r="A160" s="8"/>
      <c r="B160" s="8"/>
    </row>
    <row r="161" spans="1:2" x14ac:dyDescent="0.25">
      <c r="A161" s="8"/>
      <c r="B161" s="8"/>
    </row>
    <row r="162" spans="1:2" x14ac:dyDescent="0.25">
      <c r="A162" s="8"/>
      <c r="B162" s="8"/>
    </row>
    <row r="163" spans="1:2" x14ac:dyDescent="0.25">
      <c r="A163" s="8"/>
      <c r="B163" s="8"/>
    </row>
    <row r="164" spans="1:2" x14ac:dyDescent="0.25">
      <c r="A164" s="8"/>
      <c r="B164" s="8"/>
    </row>
    <row r="165" spans="1:2" x14ac:dyDescent="0.25">
      <c r="A165" s="8"/>
      <c r="B165" s="8"/>
    </row>
    <row r="166" spans="1:2" x14ac:dyDescent="0.25">
      <c r="A166" s="8"/>
      <c r="B166" s="8"/>
    </row>
    <row r="167" spans="1:2" x14ac:dyDescent="0.25">
      <c r="A167" s="8"/>
      <c r="B167" s="8"/>
    </row>
    <row r="168" spans="1:2" x14ac:dyDescent="0.25">
      <c r="A168" s="8"/>
      <c r="B168" s="8"/>
    </row>
    <row r="169" spans="1:2" x14ac:dyDescent="0.25">
      <c r="A169" s="8"/>
      <c r="B169" s="8"/>
    </row>
    <row r="170" spans="1:2" x14ac:dyDescent="0.25">
      <c r="A170" s="8"/>
      <c r="B170" s="8"/>
    </row>
    <row r="171" spans="1:2" x14ac:dyDescent="0.25">
      <c r="A171" s="8"/>
      <c r="B171" s="8"/>
    </row>
    <row r="172" spans="1:2" x14ac:dyDescent="0.25">
      <c r="A172" s="8"/>
      <c r="B172" s="8"/>
    </row>
    <row r="173" spans="1:2" x14ac:dyDescent="0.25">
      <c r="A173" s="8"/>
      <c r="B173" s="8"/>
    </row>
    <row r="174" spans="1:2" x14ac:dyDescent="0.25">
      <c r="A174" s="8"/>
      <c r="B174" s="8"/>
    </row>
    <row r="175" spans="1:2" x14ac:dyDescent="0.25">
      <c r="A175" s="8"/>
      <c r="B175" s="8"/>
    </row>
    <row r="176" spans="1:2" x14ac:dyDescent="0.25">
      <c r="A176" s="8"/>
      <c r="B176" s="8"/>
    </row>
    <row r="177" spans="1:2" x14ac:dyDescent="0.25">
      <c r="A177" s="8"/>
      <c r="B177" s="8"/>
    </row>
    <row r="178" spans="1:2" x14ac:dyDescent="0.25">
      <c r="A178" s="8"/>
      <c r="B178" s="8"/>
    </row>
    <row r="179" spans="1:2" x14ac:dyDescent="0.25">
      <c r="A179" s="8"/>
      <c r="B179" s="8"/>
    </row>
    <row r="180" spans="1:2" x14ac:dyDescent="0.25">
      <c r="A180" s="8"/>
      <c r="B180" s="8"/>
    </row>
    <row r="181" spans="1:2" x14ac:dyDescent="0.25">
      <c r="A181" s="8"/>
      <c r="B181" s="8"/>
    </row>
    <row r="182" spans="1:2" x14ac:dyDescent="0.25">
      <c r="A182" s="8"/>
      <c r="B182" s="8"/>
    </row>
    <row r="183" spans="1:2" x14ac:dyDescent="0.25">
      <c r="A183" s="8"/>
      <c r="B183" s="8"/>
    </row>
    <row r="184" spans="1:2" x14ac:dyDescent="0.25">
      <c r="A184" s="8"/>
      <c r="B184" s="8"/>
    </row>
    <row r="185" spans="1:2" x14ac:dyDescent="0.25">
      <c r="A185" s="8"/>
      <c r="B185" s="8"/>
    </row>
    <row r="186" spans="1:2" x14ac:dyDescent="0.25">
      <c r="A186" s="8"/>
      <c r="B186" s="8"/>
    </row>
    <row r="187" spans="1:2" x14ac:dyDescent="0.25">
      <c r="A187" s="8"/>
      <c r="B187" s="8"/>
    </row>
    <row r="188" spans="1:2" x14ac:dyDescent="0.25">
      <c r="A188" s="8"/>
      <c r="B188" s="8"/>
    </row>
    <row r="189" spans="1:2" x14ac:dyDescent="0.25">
      <c r="A189" s="8"/>
      <c r="B189" s="8"/>
    </row>
    <row r="190" spans="1:2" x14ac:dyDescent="0.25">
      <c r="A190" s="8"/>
      <c r="B190" s="8"/>
    </row>
    <row r="191" spans="1:2" x14ac:dyDescent="0.25">
      <c r="A191" s="8"/>
      <c r="B191" s="8"/>
    </row>
    <row r="192" spans="1:2" x14ac:dyDescent="0.25">
      <c r="A192" s="8"/>
      <c r="B192" s="8"/>
    </row>
    <row r="193" spans="1:2" x14ac:dyDescent="0.25">
      <c r="A193" s="8"/>
      <c r="B193" s="8"/>
    </row>
    <row r="194" spans="1:2" x14ac:dyDescent="0.25">
      <c r="A194" s="8"/>
      <c r="B194" s="8"/>
    </row>
    <row r="195" spans="1:2" x14ac:dyDescent="0.25">
      <c r="A195" s="8"/>
      <c r="B195" s="8"/>
    </row>
    <row r="196" spans="1:2" x14ac:dyDescent="0.25">
      <c r="A196" s="8"/>
      <c r="B196" s="8"/>
    </row>
    <row r="197" spans="1:2" x14ac:dyDescent="0.25">
      <c r="A197" s="8"/>
      <c r="B197" s="8"/>
    </row>
    <row r="198" spans="1:2" x14ac:dyDescent="0.25">
      <c r="A198" s="8"/>
      <c r="B198" s="8"/>
    </row>
    <row r="199" spans="1:2" x14ac:dyDescent="0.25">
      <c r="A199" s="8"/>
      <c r="B199" s="8"/>
    </row>
    <row r="200" spans="1:2" x14ac:dyDescent="0.25">
      <c r="A200" s="8"/>
      <c r="B200" s="8"/>
    </row>
    <row r="201" spans="1:2" x14ac:dyDescent="0.25">
      <c r="A201" s="8"/>
      <c r="B201" s="8"/>
    </row>
    <row r="202" spans="1:2" x14ac:dyDescent="0.25">
      <c r="A202" s="8"/>
      <c r="B202" s="8"/>
    </row>
    <row r="203" spans="1:2" x14ac:dyDescent="0.25">
      <c r="A203" s="8"/>
      <c r="B203" s="8"/>
    </row>
    <row r="204" spans="1:2" x14ac:dyDescent="0.25">
      <c r="A204" s="8"/>
      <c r="B204" s="8"/>
    </row>
    <row r="205" spans="1:2" x14ac:dyDescent="0.25">
      <c r="A205" s="8"/>
      <c r="B205" s="8"/>
    </row>
    <row r="206" spans="1:2" x14ac:dyDescent="0.25">
      <c r="A206" s="8"/>
      <c r="B206" s="8"/>
    </row>
    <row r="207" spans="1:2" x14ac:dyDescent="0.25">
      <c r="A207" s="8"/>
      <c r="B207" s="8"/>
    </row>
    <row r="208" spans="1:2" x14ac:dyDescent="0.25">
      <c r="A208" s="8"/>
      <c r="B208" s="8"/>
    </row>
    <row r="209" spans="1:2" x14ac:dyDescent="0.25">
      <c r="A209" s="8"/>
      <c r="B209" s="8"/>
    </row>
    <row r="210" spans="1:2" x14ac:dyDescent="0.25">
      <c r="A210" s="8"/>
      <c r="B210" s="8"/>
    </row>
    <row r="211" spans="1:2" x14ac:dyDescent="0.25">
      <c r="A211" s="8"/>
      <c r="B211" s="8"/>
    </row>
    <row r="212" spans="1:2" x14ac:dyDescent="0.25">
      <c r="A212" s="8"/>
      <c r="B212" s="8"/>
    </row>
    <row r="213" spans="1:2" x14ac:dyDescent="0.25">
      <c r="A213" s="8"/>
      <c r="B213" s="8"/>
    </row>
  </sheetData>
  <mergeCells count="2">
    <mergeCell ref="L4:L5"/>
    <mergeCell ref="M4:M5"/>
  </mergeCells>
  <conditionalFormatting sqref="E1:E213">
    <cfRule type="expression" dxfId="0" priority="1">
      <formula>E2&gt;=90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GRANICA-RS</dc:creator>
  <cp:lastModifiedBy>GRANICA-RS</cp:lastModifiedBy>
  <dcterms:created xsi:type="dcterms:W3CDTF">2026-02-05T08:27:07Z</dcterms:created>
  <dcterms:modified xsi:type="dcterms:W3CDTF">2026-02-05T08:28:02Z</dcterms:modified>
</cp:coreProperties>
</file>